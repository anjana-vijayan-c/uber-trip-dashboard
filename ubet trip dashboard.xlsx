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hidePivotFieldList="1" defaultThemeVersion="166925"/>
  <mc:AlternateContent xmlns:mc="http://schemas.openxmlformats.org/markup-compatibility/2006">
    <mc:Choice Requires="x15">
      <x15ac:absPath xmlns:x15ac="http://schemas.microsoft.com/office/spreadsheetml/2010/11/ac" url="C:\Users\anjan\Downloads\"/>
    </mc:Choice>
  </mc:AlternateContent>
  <xr:revisionPtr revIDLastSave="0" documentId="13_ncr:1_{CAA95F6D-9C1F-4AB7-89DA-DF7171A72F1C}" xr6:coauthVersionLast="46" xr6:coauthVersionMax="46" xr10:uidLastSave="{00000000-0000-0000-0000-000000000000}"/>
  <bookViews>
    <workbookView xWindow="-108" yWindow="-108" windowWidth="23256" windowHeight="12456" xr2:uid="{60803097-123C-42A5-AEAB-C2EE1381B5F1}"/>
  </bookViews>
  <sheets>
    <sheet name="DASHBOARD" sheetId="1" r:id="rId1"/>
    <sheet name="DRIVER_VS_DISTANCE" sheetId="11" r:id="rId2"/>
    <sheet name="DATASET" sheetId="2" r:id="rId3"/>
    <sheet name="city_vs_fare" sheetId="3" r:id="rId4"/>
    <sheet name="driver_vs_rating" sheetId="4" r:id="rId5"/>
    <sheet name="payment_vs_fare" sheetId="5" r:id="rId6"/>
    <sheet name="distance_vs_month" sheetId="6" r:id="rId7"/>
    <sheet name="City_vs_trip_status" sheetId="7" r:id="rId8"/>
  </sheets>
  <definedNames>
    <definedName name="ExternalData_1" localSheetId="2" hidden="1">DATASET!$A$1:$I$101</definedName>
    <definedName name="Slicer_City">#N/A</definedName>
    <definedName name="Slicer_Trip_Status">#N/A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B685B4-F38C-4252-82A7-FF64CF9BD097}"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<sst xmlns="http://schemas.openxmlformats.org/spreadsheetml/2006/main" count="561" uniqueCount="137">
  <si>
    <t>Date</t>
  </si>
  <si>
    <t>City</t>
  </si>
  <si>
    <t>Driver Name</t>
  </si>
  <si>
    <t>Trip ID</t>
  </si>
  <si>
    <t>Distance (km)</t>
  </si>
  <si>
    <t>Fare (₹)</t>
  </si>
  <si>
    <t>Rating</t>
  </si>
  <si>
    <t>Payment Type</t>
  </si>
  <si>
    <t>Trip Status</t>
  </si>
  <si>
    <t>Chennai</t>
  </si>
  <si>
    <t>Neha Sharma</t>
  </si>
  <si>
    <t>T0001</t>
  </si>
  <si>
    <t>UPI</t>
  </si>
  <si>
    <t>Completed</t>
  </si>
  <si>
    <t>Hyderabad</t>
  </si>
  <si>
    <t>Rajesh Nair</t>
  </si>
  <si>
    <t>T0002</t>
  </si>
  <si>
    <t>Cash</t>
  </si>
  <si>
    <t>Bengaluru</t>
  </si>
  <si>
    <t>T0003</t>
  </si>
  <si>
    <t>Card</t>
  </si>
  <si>
    <t>Cancelled</t>
  </si>
  <si>
    <t>Priya Singh</t>
  </si>
  <si>
    <t>T0004</t>
  </si>
  <si>
    <t>T0005</t>
  </si>
  <si>
    <t>Delhi</t>
  </si>
  <si>
    <t>Anjali Mehta</t>
  </si>
  <si>
    <t>T0006</t>
  </si>
  <si>
    <t>Vikram Patel</t>
  </si>
  <si>
    <t>T0007</t>
  </si>
  <si>
    <t>Arjun Reddy</t>
  </si>
  <si>
    <t>T0008</t>
  </si>
  <si>
    <t>T0009</t>
  </si>
  <si>
    <t>T0010</t>
  </si>
  <si>
    <t>T0011</t>
  </si>
  <si>
    <t>T0012</t>
  </si>
  <si>
    <t>T0013</t>
  </si>
  <si>
    <t>T0014</t>
  </si>
  <si>
    <t>T0015</t>
  </si>
  <si>
    <t>T0016</t>
  </si>
  <si>
    <t>T0017</t>
  </si>
  <si>
    <t>T0018</t>
  </si>
  <si>
    <t>Mumbai</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</si>
  <si>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</si>
  <si>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</si>
  <si>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</si>
  <si>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</si>
  <si>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</si>
  <si>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</si>
  <si>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</si>
  <si>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</si>
  <si>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</si>
  <si>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</si>
  <si>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</si>
  <si>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</si>
  <si>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</si>
  <si>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</si>
  <si>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</si>
  <si>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</si>
  <si>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</si>
  <si>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</si>
  <si>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</si>
  <si>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</si>
  <si>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</si>
  <si>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</si>
  <si>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</si>
  <si>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</si>
  <si>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</si>
  <si>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</si>
  <si>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</si>
  <si>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</si>
  <si>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</si>
  <si>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</si>
  <si>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</si>
  <si>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</si>
  <si>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</si>
  <si>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</si>
  <si>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</si>
  <si>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</si>
  <si>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</si>
  <si>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</si>
  <si>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</si>
  <si>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</si>
  <si>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</si>
  <si>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</si>
  <si>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</si>
  <si>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</si>
  <si>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</si>
  <si>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</si>
  <si>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</si>
  <si>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</si>
  <si>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</si>
  <si>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</si>
  <si>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</si>
  <si>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</si>
  <si>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</si>
  <si>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</si>
  <si>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</si>
  <si>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</si>
  <si>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</si>
  <si>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</si>
  <si>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</si>
  <si>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</si>
  <si>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</si>
  <si>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</si>
  <si>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</si>
  <si>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</si>
  <si>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</si>
  <si>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</si>
  <si>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</si>
  <si>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</si>
  <si>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</si>
  <si>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</si>
  <si>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</si>
  <si>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</si>
  <si>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</si>
  <si>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</si>
  <si>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</si>
  <si>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</si>
  <si>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</si>
  <si>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</si>
  <si>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</si>
  <si>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</si>
  <si>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</si>
  <si>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</si>
  <si>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Row Labels</t>
  </si>
  <si>
    <t>Grand Total</t>
  </si>
  <si>
    <t>Sum of Fare (₹)</t>
  </si>
  <si>
    <t>Sum of Rating</t>
  </si>
  <si>
    <t>Sum of Distance (km)</t>
  </si>
  <si>
    <t>Jan</t>
  </si>
  <si>
    <t>Feb</t>
  </si>
  <si>
    <t>Mar</t>
  </si>
  <si>
    <t>Apr</t>
  </si>
  <si>
    <t>Count of City</t>
  </si>
  <si>
    <t>Column Labels</t>
  </si>
  <si>
    <t>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</si>
</sst>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7" tint="0.39997558519241921"/>
      <name val="Times New Roman"/>
      <family val="1"/>
    </font>
    <font>
      <b/>
      <sz val="11"/>
      <color theme="0"/>
      <name val="Times New Roman"/>
      <family val="1"/>
    </font>
  </fonts>
  <fills count="4">
    <fill>
      <patternFill patternType="none"/>
    </fill>
    <fill>
      <patternFill patternType="gray125"/>
    </fill>
    <fill>
      <patternFill patternType="solid">
        <fgColor theme="0"/>
        <bgColor indexed="64"/>
      </patternFill>
    </fill>
    <fill>
      <patternFill patternType="solid">
        <fgColor theme="2" tint="-0.749992370372631"/>
        <bgColor indexed="64"/>
      </patternFill>
    </fill>
  </fills>
  <borders count="5">
    <border>
      <left/>
      <right/>
      <top/>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1">
    <xf numFmtId="0" fontId="0" fillId="0" borderId="0"/>
  </cellStyleXfs>
  <cellXfs count="1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xf numFmtId="0" fontId="0" fillId="2" borderId="1" xfId="0" applyFill="1" applyBorder="1"/>
    <xf numFmtId="0" fontId="0" fillId="2" borderId="2" xfId="0" applyFill="1" applyBorder="1"/>
    <xf numFmtId="0" fontId="1" fillId="3" borderId="4" xfId="0" applyFont="1" applyFill="1" applyBorder="1" applyAlignment="1">
      <alignment horizontal="center" vertical="center"/>
    </xf>
    <xf numFmtId="0" fontId="2" fillId="3" borderId="3" xfId="0" applyFont="1" applyFill="1" applyBorder="1" applyAlignment="1">
      <alignment wrapText="1"/>
    </xf>
  </cellXfs>
  <cellStyles count="1">
    <cellStyle name="Normal" xfId="0" builtinId="0"/>
  </cellStyles>
  <dxfs count="9">
    <dxf>
      <fill>
        <patternFill>
          <bgColor theme="0"/>
        </patternFill>
      </fill>
    </dxf>
    <dxf>
      <fill>
        <patternFill>
          <bgColor theme="2" tint="-0.749961851863155"/>
        </patternFill>
      </fill>
      <border>
        <left style="medium">
          <color auto="1"/>
        </left>
        <right style="medium">
          <color auto="1"/>
        </right>
        <top style="medium">
          <color auto="1"/>
        </top>
        <bottom style="medium">
          <color auto="1"/>
        </bottom>
      </border>
    </dxf>
    <dxf>
      <numFmt numFmtId="0" formatCode="General"/>
    </dxf>
    <dxf>
      <numFmt numFmtId="0" formatCode="General"/>
    </dxf>
    <dxf>
      <numFmt numFmtId="0" formatCode="General"/>
    </dxf>
    <dxf>
      <numFmt numFmtId="0" formatCode="General"/>
    </dxf>
    <dxf>
      <numFmt numFmtId="0" formatCode="General"/>
    </dxf>
    <dxf>
      <numFmt numFmtId="27" formatCode="m/d/yyyy\ h:mm"/>
    </dxf>
    <dxf>
      <font>
        <color auto="1"/>
        <name val="Times New Roman"/>
        <family val="1"/>
        <scheme val="none"/>
      </font>
      <fill>
        <patternFill patternType="solid">
          <fgColor auto="1"/>
          <bgColor theme="0"/>
        </patternFill>
      </fill>
    </dxf>
  </dxfs>
  <tableStyles count="2" defaultTableStyle="TableStyleMedium2" defaultPivotStyle="PivotStyleLight16">
    <tableStyle name="Slicer Style 1" pivot="0" table="0" count="1" xr9:uid="{00252DED-6E71-4DEC-B77F-5835F9BCB16C}">
      <tableStyleElement type="wholeTable" dxfId="8"/>
    </tableStyle>
    <tableStyle name="Slicer Style 2" pivot="0" table="0" count="6" xr9:uid="{22404C31-248D-4494-B462-7077DDE2E951}">
      <tableStyleElement type="wholeTable" dxfId="1"/>
      <tableStyleElement type="headerRow" dxfId="0"/>
    </tableStyle>
  </tableStyles>
  <extLst>
    <ext xmlns:x14="http://schemas.microsoft.com/office/spreadsheetml/2009/9/main" uri="{46F421CA-312F-682f-3DD2-61675219B42D}">
      <x14:dxfs count="4">
        <dxf>
          <fill>
            <patternFill>
              <bgColor theme="7" tint="0.79998168889431442"/>
            </patternFill>
          </fill>
        </dxf>
        <dxf>
          <fill>
            <patternFill>
              <bgColor theme="7" tint="0.79998168889431442"/>
            </patternFill>
          </fill>
        </dxf>
        <dxf>
          <fill>
            <patternFill>
              <bgColor theme="7" tint="0.39994506668294322"/>
            </patternFill>
          </fill>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[ubet trip dashboard.xlsx]city_vs_fare!PivotTable1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CITY</a:t>
            </a:r>
            <a:r>
              <a:rPr lang="en-US" b="1" baseline="0">
                <a:solidFill>
                  <a:schemeClr val="bg1"/>
                </a:solidFill>
                <a:latin typeface="Times New Roman" panose="02020603050405020304" pitchFamily="18" charset="0"/>
                <a:cs typeface="Times New Roman" panose="02020603050405020304" pitchFamily="18" charset="0"/>
              </a:rPr>
              <a:t>_VS_FARE</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city_vs_fare!$B$1</c:f>
              <c:strCache>
                <c:ptCount val="1"/>
                <c:pt idx="0">
                  <c:v>Total</c:v>
                </c:pt>
              </c:strCache>
            </c:strRef>
          </c:tx>
          <c:spPr>
            <a:solidFill>
              <a:schemeClr val="accent4"/>
            </a:solidFill>
            <a:ln>
              <a:noFill/>
            </a:ln>
            <a:effectLst/>
          </c:spPr>
          <c:invertIfNegative val="0"/>
          <c:cat>
            <c:strRef>
              <c:f>city_vs_fare!$A$2:$A$7</c:f>
              <c:strCache>
                <c:ptCount val="5"/>
                <c:pt idx="0">
                  <c:v>Bengaluru</c:v>
                </c:pt>
                <c:pt idx="1">
                  <c:v>Chennai</c:v>
                </c:pt>
                <c:pt idx="2">
                  <c:v>Delhi</c:v>
                </c:pt>
                <c:pt idx="3">
                  <c:v>Hyderabad</c:v>
                </c:pt>
                <c:pt idx="4">
                  <c:v>Mumbai</c:v>
                </c:pt>
              </c:strCache>
            </c:strRef>
          </c:cat>
          <c:val>
            <c:numRef>
              <c:f>city_vs_fare!$B$2:$B$7</c:f>
              <c:numCache>
                <c:formatCode>General</c:formatCode>
                <c:ptCount val="5"/>
                <c:pt idx="0">
                  <c:v>7323.48</c:v>
                </c:pt>
                <c:pt idx="1">
                  <c:v>11341.42</c:v>
                </c:pt>
                <c:pt idx="2">
                  <c:v>7301.8200000000006</c:v>
                </c:pt>
                <c:pt idx="3">
                  <c:v>7242.5299999999988</c:v>
                </c:pt>
                <c:pt idx="4">
                  <c:v>7092.2999999999993</c:v>
                </c:pt>
              </c:numCache>
            </c:numRef>
          </c:val>
          <c:extLst>
            <c:ext xmlns:c16="http://schemas.microsoft.com/office/drawing/2014/chart" uri="{C3380CC4-5D6E-409C-BE32-E72D297353CC}">
              <c16:uniqueId val="{00000000-7478-4BC0-8463-310835DFED85}"/>
            </c:ext>
          </c:extLst>
        </c:ser>
        <c:dLbls>
          <c:showLegendKey val="0"/>
          <c:showVal val="0"/>
          <c:showCatName val="0"/>
          <c:showSerName val="0"/>
          <c:showPercent val="0"/>
          <c:showBubbleSize val="0"/>
        </c:dLbls>
        <c:gapWidth val="219"/>
        <c:overlap val="-27"/>
        <c:axId val="48759408"/>
        <c:axId val="48762736"/>
      </c:barChart>
      <c:catAx>
        <c:axId val="48759408"/>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762736"/>
        <c:crosses val="autoZero"/>
        <c:auto val="1"/>
        <c:lblAlgn val="ctr"/>
        <c:lblOffset val="100"/>
        <c:noMultiLvlLbl val="0"/>
      </c:catAx>
      <c:valAx>
        <c:axId val="4876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75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[ubet trip dashboard.xlsx]driver_vs_rating!PivotTable2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DRIVER</a:t>
            </a:r>
            <a:r>
              <a:rPr lang="en-US" b="1" baseline="0">
                <a:solidFill>
                  <a:schemeClr val="bg1"/>
                </a:solidFill>
                <a:latin typeface="Times New Roman" panose="02020603050405020304" pitchFamily="18" charset="0"/>
                <a:cs typeface="Times New Roman" panose="02020603050405020304" pitchFamily="18" charset="0"/>
              </a:rPr>
              <a:t>_VS_RATING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driver_vs_rating!$B$1</c:f>
              <c:strCache>
                <c:ptCount val="1"/>
                <c:pt idx="0">
                  <c:v>Total</c:v>
                </c:pt>
              </c:strCache>
            </c:strRef>
          </c:tx>
          <c:spPr>
            <a:solidFill>
              <a:schemeClr val="accent4"/>
            </a:solidFill>
            <a:ln>
              <a:noFill/>
            </a:ln>
            <a:effectLst/>
          </c:spPr>
          <c:invertIfNegative val="0"/>
          <c:cat>
            <c:strRef>
              <c:f>driver_vs_rating!$A$2:$A$8</c:f>
              <c:strCache>
                <c:ptCount val="6"/>
                <c:pt idx="0">
                  <c:v>Anjali Mehta</c:v>
                </c:pt>
                <c:pt idx="1">
                  <c:v>Arjun Reddy</c:v>
                </c:pt>
                <c:pt idx="2">
                  <c:v>Neha Sharma</c:v>
                </c:pt>
                <c:pt idx="3">
                  <c:v>Priya Singh</c:v>
                </c:pt>
                <c:pt idx="4">
                  <c:v>Rajesh Nair</c:v>
                </c:pt>
                <c:pt idx="5">
                  <c:v>Vikram Patel</c:v>
                </c:pt>
              </c:strCache>
            </c:strRef>
          </c:cat>
          <c:val>
            <c:numRef>
              <c:f>driver_vs_rating!$B$2:$B$8</c:f>
              <c:numCache>
                <c:formatCode>General</c:formatCode>
                <c:ptCount val="6"/>
                <c:pt idx="0">
                  <c:v>72.899999999999991</c:v>
                </c:pt>
                <c:pt idx="1">
                  <c:v>79.3</c:v>
                </c:pt>
                <c:pt idx="2">
                  <c:v>78.099999999999994</c:v>
                </c:pt>
                <c:pt idx="3">
                  <c:v>41.800000000000004</c:v>
                </c:pt>
                <c:pt idx="4">
                  <c:v>98.899999999999991</c:v>
                </c:pt>
                <c:pt idx="5">
                  <c:v>61.300000000000004</c:v>
                </c:pt>
              </c:numCache>
            </c:numRef>
          </c:val>
          <c:extLst>
            <c:ext xmlns:c16="http://schemas.microsoft.com/office/drawing/2014/chart" uri="{C3380CC4-5D6E-409C-BE32-E72D297353CC}">
              <c16:uniqueId val="{00000000-A82A-4FE5-9C2C-A942F78800EA}"/>
            </c:ext>
          </c:extLst>
        </c:ser>
        <c:dLbls>
          <c:showLegendKey val="0"/>
          <c:showVal val="0"/>
          <c:showCatName val="0"/>
          <c:showSerName val="0"/>
          <c:showPercent val="0"/>
          <c:showBubbleSize val="0"/>
        </c:dLbls>
        <c:gapWidth val="219"/>
        <c:axId val="246599712"/>
        <c:axId val="242148000"/>
      </c:barChart>
      <c:catAx>
        <c:axId val="24659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2148000"/>
        <c:crosses val="autoZero"/>
        <c:auto val="1"/>
        <c:lblAlgn val="ctr"/>
        <c:lblOffset val="100"/>
        <c:noMultiLvlLbl val="0"/>
      </c:catAx>
      <c:valAx>
        <c:axId val="242148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6599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[ubet trip dashboard.xlsx]payment_vs_fare!PivotTable3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PAYMENT_TYPE_VS_FARE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
        <c:idx val="6"/>
        <c:spPr>
          <a:solidFill>
            <a:schemeClr val="accent4"/>
          </a:solidFill>
          <a:ln>
            <a:noFill/>
          </a:ln>
          <a:effectLst/>
        </c:spPr>
      </c:pivotFmt>
      <c:pivotFmt>
        <c:idx val="7"/>
        <c:spPr>
          <a:solidFill>
            <a:schemeClr val="accent4"/>
          </a:solidFill>
          <a:ln>
            <a:noFill/>
          </a:ln>
          <a:effectLst/>
        </c:spP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pivotFmt>
      <c:pivotFmt>
        <c:idx val="10"/>
        <c:spPr>
          <a:solidFill>
            <a:schemeClr val="accent4"/>
          </a:solidFill>
          <a:ln>
            <a:noFill/>
          </a:ln>
          <a:effectLst/>
        </c:spPr>
      </c:pivotFmt>
      <c:pivotFmt>
        <c:idx val="11"/>
        <c:spPr>
          <a:solidFill>
            <a:schemeClr val="accent4"/>
          </a:solidFill>
          <a:ln>
            <a:noFill/>
          </a:ln>
          <a:effectLst/>
        </c:spPr>
      </c:pivotFmt>
    </c:pivotFmts>
    <c:plotArea>
      <c:layout/>
      <c:pieChart>
        <c:varyColors val="1"/>
        <c:ser>
          <c:idx val="0"/>
          <c:order val="0"/>
          <c:tx>
            <c:strRef>
              <c:f>payment_vs_fare!$B$1</c:f>
              <c:strCache>
                <c:ptCount val="1"/>
                <c:pt idx="0">
                  <c:v>Total</c:v>
                </c:pt>
              </c:strCache>
            </c:strRef>
          </c:tx>
          <c:dPt>
            <c:idx val="0"/>
            <c:bubble3D val="0"/>
            <c:spPr>
              <a:solidFill>
                <a:schemeClr val="accent4">
                  <a:tint val="65000"/>
                </a:schemeClr>
              </a:solidFill>
              <a:ln>
                <a:noFill/>
              </a:ln>
              <a:effectLst/>
            </c:spPr>
            <c:extLst>
              <c:ext xmlns:c16="http://schemas.microsoft.com/office/drawing/2014/chart" uri="{C3380CC4-5D6E-409C-BE32-E72D297353CC}">
                <c16:uniqueId val="{00000001-CA8D-4419-95D1-A632CDD585F0}"/>
              </c:ext>
            </c:extLst>
          </c:dPt>
          <c:dPt>
            <c:idx val="1"/>
            <c:bubble3D val="0"/>
            <c:spPr>
              <a:solidFill>
                <a:schemeClr val="accent4"/>
              </a:solidFill>
              <a:ln>
                <a:noFill/>
              </a:ln>
              <a:effectLst/>
            </c:spPr>
            <c:extLst>
              <c:ext xmlns:c16="http://schemas.microsoft.com/office/drawing/2014/chart" uri="{C3380CC4-5D6E-409C-BE32-E72D297353CC}">
                <c16:uniqueId val="{00000003-CA8D-4419-95D1-A632CDD585F0}"/>
              </c:ext>
            </c:extLst>
          </c:dPt>
          <c:dPt>
            <c:idx val="2"/>
            <c:bubble3D val="0"/>
            <c:spPr>
              <a:solidFill>
                <a:schemeClr val="accent4">
                  <a:shade val="65000"/>
                </a:schemeClr>
              </a:solidFill>
              <a:ln>
                <a:noFill/>
              </a:ln>
              <a:effectLst/>
            </c:spPr>
            <c:extLst>
              <c:ext xmlns:c16="http://schemas.microsoft.com/office/drawing/2014/chart" uri="{C3380CC4-5D6E-409C-BE32-E72D297353CC}">
                <c16:uniqueId val="{00000005-CA8D-4419-95D1-A632CDD585F0}"/>
              </c:ext>
            </c:extLst>
          </c:dPt>
          <c:cat>
            <c:strRef>
              <c:f>payment_vs_fare!$A$2:$A$5</c:f>
              <c:strCache>
                <c:ptCount val="3"/>
                <c:pt idx="0">
                  <c:v>Card</c:v>
                </c:pt>
                <c:pt idx="1">
                  <c:v>Cash</c:v>
                </c:pt>
                <c:pt idx="2">
                  <c:v>UPI</c:v>
                </c:pt>
              </c:strCache>
            </c:strRef>
          </c:cat>
          <c:val>
            <c:numRef>
              <c:f>payment_vs_fare!$B$2:$B$5</c:f>
              <c:numCache>
                <c:formatCode>General</c:formatCode>
                <c:ptCount val="3"/>
                <c:pt idx="0">
                  <c:v>11399.299999999997</c:v>
                </c:pt>
                <c:pt idx="1">
                  <c:v>11153</c:v>
                </c:pt>
                <c:pt idx="2">
                  <c:v>17749.25</c:v>
                </c:pt>
              </c:numCache>
            </c:numRef>
          </c:val>
          <c:extLst>
            <c:ext xmlns:c16="http://schemas.microsoft.com/office/drawing/2014/chart" uri="{C3380CC4-5D6E-409C-BE32-E72D297353CC}">
              <c16:uniqueId val="{00000006-CA8D-4419-95D1-A632CDD585F0}"/>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[ubet trip dashboard.xlsx]distance_vs_month!PivotTable4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DISTANCE</a:t>
            </a:r>
            <a:r>
              <a:rPr lang="en-US" b="1" baseline="0">
                <a:solidFill>
                  <a:schemeClr val="bg1"/>
                </a:solidFill>
                <a:latin typeface="Times New Roman" panose="02020603050405020304" pitchFamily="18" charset="0"/>
                <a:cs typeface="Times New Roman" panose="02020603050405020304" pitchFamily="18" charset="0"/>
              </a:rPr>
              <a:t>_VS_MONTH</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distance_vs_month!$B$1</c:f>
              <c:strCache>
                <c:ptCount val="1"/>
                <c:pt idx="0">
                  <c:v>Total</c:v>
                </c:pt>
              </c:strCache>
            </c:strRef>
          </c:tx>
          <c:spPr>
            <a:solidFill>
              <a:schemeClr val="accent4"/>
            </a:solidFill>
            <a:ln>
              <a:noFill/>
            </a:ln>
            <a:effectLst/>
          </c:spPr>
          <c:cat>
            <c:strRef>
              <c:f>distance_vs_month!$A$2:$A$6</c:f>
              <c:strCache>
                <c:ptCount val="4"/>
                <c:pt idx="0">
                  <c:v>Jan</c:v>
                </c:pt>
                <c:pt idx="1">
                  <c:v>Feb</c:v>
                </c:pt>
                <c:pt idx="2">
                  <c:v>Mar</c:v>
                </c:pt>
                <c:pt idx="3">
                  <c:v>Apr</c:v>
                </c:pt>
              </c:strCache>
            </c:strRef>
          </c:cat>
          <c:val>
            <c:numRef>
              <c:f>distance_vs_month!$B$2:$B$6</c:f>
              <c:numCache>
                <c:formatCode>General</c:formatCode>
                <c:ptCount val="4"/>
                <c:pt idx="0">
                  <c:v>369.1</c:v>
                </c:pt>
                <c:pt idx="1">
                  <c:v>386.09999999999991</c:v>
                </c:pt>
                <c:pt idx="2">
                  <c:v>371.89999999999986</c:v>
                </c:pt>
                <c:pt idx="3">
                  <c:v>132.70000000000002</c:v>
                </c:pt>
              </c:numCache>
            </c:numRef>
          </c:val>
          <c:extLst>
            <c:ext xmlns:c16="http://schemas.microsoft.com/office/drawing/2014/chart" uri="{C3380CC4-5D6E-409C-BE32-E72D297353CC}">
              <c16:uniqueId val="{00000000-D5B1-4283-96D6-FE7EDBD81AFB}"/>
            </c:ext>
          </c:extLst>
        </c:ser>
        <c:dLbls>
          <c:showLegendKey val="0"/>
          <c:showVal val="0"/>
          <c:showCatName val="0"/>
          <c:showSerName val="0"/>
          <c:showPercent val="0"/>
          <c:showBubbleSize val="0"/>
        </c:dLbls>
        <c:axId val="368640448"/>
        <c:axId val="368643776"/>
      </c:areaChart>
      <c:catAx>
        <c:axId val="36864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8643776"/>
        <c:crosses val="autoZero"/>
        <c:auto val="1"/>
        <c:lblAlgn val="ctr"/>
        <c:lblOffset val="100"/>
        <c:noMultiLvlLbl val="0"/>
      </c:catAx>
      <c:valAx>
        <c:axId val="3686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86404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[ubet trip dashboard.xlsx]City_vs_trip_status!PivotTable5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CITY</a:t>
            </a:r>
            <a:r>
              <a:rPr lang="en-US" b="1" baseline="0">
                <a:solidFill>
                  <a:schemeClr val="bg1"/>
                </a:solidFill>
                <a:latin typeface="Times New Roman" panose="02020603050405020304" pitchFamily="18" charset="0"/>
                <a:cs typeface="Times New Roman" panose="02020603050405020304" pitchFamily="18" charset="0"/>
              </a:rPr>
              <a:t>_VS_TRIP_STATUS</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City_vs_trip_status!$B$1:$B$2</c:f>
              <c:strCache>
                <c:ptCount val="1"/>
                <c:pt idx="0">
                  <c:v>Bengaluru</c:v>
                </c:pt>
              </c:strCache>
            </c:strRef>
          </c:tx>
          <c:spPr>
            <a:ln w="28575" cap="rnd">
              <a:solidFill>
                <a:schemeClr val="accent4">
                  <a:shade val="53000"/>
                </a:schemeClr>
              </a:solidFill>
              <a:round/>
            </a:ln>
            <a:effectLst/>
          </c:spPr>
          <c:marker>
            <c:symbol val="none"/>
          </c:marker>
          <c:cat>
            <c:strRef>
              <c:f>City_vs_trip_status!$A$3:$A$5</c:f>
              <c:strCache>
                <c:ptCount val="2"/>
                <c:pt idx="0">
                  <c:v>Cancelled</c:v>
                </c:pt>
                <c:pt idx="1">
                  <c:v>Completed</c:v>
                </c:pt>
              </c:strCache>
            </c:strRef>
          </c:cat>
          <c:val>
            <c:numRef>
              <c:f>City_vs_trip_status!$B$3:$B$5</c:f>
              <c:numCache>
                <c:formatCode>General</c:formatCode>
                <c:ptCount val="2"/>
                <c:pt idx="0">
                  <c:v>4</c:v>
                </c:pt>
                <c:pt idx="1">
                  <c:v>12</c:v>
                </c:pt>
              </c:numCache>
            </c:numRef>
          </c:val>
          <c:smooth val="0"/>
          <c:extLst>
            <c:ext xmlns:c16="http://schemas.microsoft.com/office/drawing/2014/chart" uri="{C3380CC4-5D6E-409C-BE32-E72D297353CC}">
              <c16:uniqueId val="{00000000-B5A9-4A59-9B62-89143AAF65DA}"/>
            </c:ext>
          </c:extLst>
        </c:ser>
        <c:ser>
          <c:idx val="1"/>
          <c:order val="1"/>
          <c:tx>
            <c:strRef>
              <c:f>City_vs_trip_status!$C$1:$C$2</c:f>
              <c:strCache>
                <c:ptCount val="1"/>
                <c:pt idx="0">
                  <c:v>Chennai</c:v>
                </c:pt>
              </c:strCache>
            </c:strRef>
          </c:tx>
          <c:spPr>
            <a:ln w="28575" cap="rnd">
              <a:solidFill>
                <a:schemeClr val="accent4">
                  <a:shade val="76000"/>
                </a:schemeClr>
              </a:solidFill>
              <a:round/>
            </a:ln>
            <a:effectLst/>
          </c:spPr>
          <c:marker>
            <c:symbol val="none"/>
          </c:marker>
          <c:cat>
            <c:strRef>
              <c:f>City_vs_trip_status!$A$3:$A$5</c:f>
              <c:strCache>
                <c:ptCount val="2"/>
                <c:pt idx="0">
                  <c:v>Cancelled</c:v>
                </c:pt>
                <c:pt idx="1">
                  <c:v>Completed</c:v>
                </c:pt>
              </c:strCache>
            </c:strRef>
          </c:cat>
          <c:val>
            <c:numRef>
              <c:f>City_vs_trip_status!$C$3:$C$5</c:f>
              <c:numCache>
                <c:formatCode>General</c:formatCode>
                <c:ptCount val="2"/>
                <c:pt idx="0">
                  <c:v>2</c:v>
                </c:pt>
                <c:pt idx="1">
                  <c:v>24</c:v>
                </c:pt>
              </c:numCache>
            </c:numRef>
          </c:val>
          <c:smooth val="0"/>
          <c:extLst>
            <c:ext xmlns:c16="http://schemas.microsoft.com/office/drawing/2014/chart" uri="{C3380CC4-5D6E-409C-BE32-E72D297353CC}">
              <c16:uniqueId val="{00000005-80E1-4693-B5D0-72DFE248A9D5}"/>
            </c:ext>
          </c:extLst>
        </c:ser>
        <c:ser>
          <c:idx val="2"/>
          <c:order val="2"/>
          <c:tx>
            <c:strRef>
              <c:f>City_vs_trip_status!$D$1:$D$2</c:f>
              <c:strCache>
                <c:ptCount val="1"/>
                <c:pt idx="0">
                  <c:v>Delhi</c:v>
                </c:pt>
              </c:strCache>
            </c:strRef>
          </c:tx>
          <c:spPr>
            <a:ln w="28575" cap="rnd">
              <a:solidFill>
                <a:schemeClr val="accent4"/>
              </a:solidFill>
              <a:round/>
            </a:ln>
            <a:effectLst/>
          </c:spPr>
          <c:marker>
            <c:symbol val="none"/>
          </c:marker>
          <c:cat>
            <c:strRef>
              <c:f>City_vs_trip_status!$A$3:$A$5</c:f>
              <c:strCache>
                <c:ptCount val="2"/>
                <c:pt idx="0">
                  <c:v>Cancelled</c:v>
                </c:pt>
                <c:pt idx="1">
                  <c:v>Completed</c:v>
                </c:pt>
              </c:strCache>
            </c:strRef>
          </c:cat>
          <c:val>
            <c:numRef>
              <c:f>City_vs_trip_status!$D$3:$D$5</c:f>
              <c:numCache>
                <c:formatCode>General</c:formatCode>
                <c:ptCount val="2"/>
                <c:pt idx="1">
                  <c:v>21</c:v>
                </c:pt>
              </c:numCache>
            </c:numRef>
          </c:val>
          <c:smooth val="0"/>
          <c:extLst>
            <c:ext xmlns:c16="http://schemas.microsoft.com/office/drawing/2014/chart" uri="{C3380CC4-5D6E-409C-BE32-E72D297353CC}">
              <c16:uniqueId val="{00000006-80E1-4693-B5D0-72DFE248A9D5}"/>
            </c:ext>
          </c:extLst>
        </c:ser>
        <c:ser>
          <c:idx val="3"/>
          <c:order val="3"/>
          <c:tx>
            <c:strRef>
              <c:f>City_vs_trip_status!$E$1:$E$2</c:f>
              <c:strCache>
                <c:ptCount val="1"/>
                <c:pt idx="0">
                  <c:v>Hyderabad</c:v>
                </c:pt>
              </c:strCache>
            </c:strRef>
          </c:tx>
          <c:spPr>
            <a:ln w="28575" cap="rnd">
              <a:solidFill>
                <a:schemeClr val="accent4">
                  <a:tint val="77000"/>
                </a:schemeClr>
              </a:solidFill>
              <a:round/>
            </a:ln>
            <a:effectLst/>
          </c:spPr>
          <c:marker>
            <c:symbol val="none"/>
          </c:marker>
          <c:cat>
            <c:strRef>
              <c:f>City_vs_trip_status!$A$3:$A$5</c:f>
              <c:strCache>
                <c:ptCount val="2"/>
                <c:pt idx="0">
                  <c:v>Cancelled</c:v>
                </c:pt>
                <c:pt idx="1">
                  <c:v>Completed</c:v>
                </c:pt>
              </c:strCache>
            </c:strRef>
          </c:cat>
          <c:val>
            <c:numRef>
              <c:f>City_vs_trip_status!$E$3:$E$5</c:f>
              <c:numCache>
                <c:formatCode>General</c:formatCode>
                <c:ptCount val="2"/>
                <c:pt idx="0">
                  <c:v>2</c:v>
                </c:pt>
                <c:pt idx="1">
                  <c:v>17</c:v>
                </c:pt>
              </c:numCache>
            </c:numRef>
          </c:val>
          <c:smooth val="0"/>
          <c:extLst>
            <c:ext xmlns:c16="http://schemas.microsoft.com/office/drawing/2014/chart" uri="{C3380CC4-5D6E-409C-BE32-E72D297353CC}">
              <c16:uniqueId val="{00000007-80E1-4693-B5D0-72DFE248A9D5}"/>
            </c:ext>
          </c:extLst>
        </c:ser>
        <c:ser>
          <c:idx val="4"/>
          <c:order val="4"/>
          <c:tx>
            <c:strRef>
              <c:f>City_vs_trip_status!$F$1:$F$2</c:f>
              <c:strCache>
                <c:ptCount val="1"/>
                <c:pt idx="0">
                  <c:v>Mumbai</c:v>
                </c:pt>
              </c:strCache>
            </c:strRef>
          </c:tx>
          <c:spPr>
            <a:ln w="28575" cap="rnd">
              <a:solidFill>
                <a:schemeClr val="accent4">
                  <a:tint val="54000"/>
                </a:schemeClr>
              </a:solidFill>
              <a:round/>
            </a:ln>
            <a:effectLst/>
          </c:spPr>
          <c:marker>
            <c:symbol val="none"/>
          </c:marker>
          <c:cat>
            <c:strRef>
              <c:f>City_vs_trip_status!$A$3:$A$5</c:f>
              <c:strCache>
                <c:ptCount val="2"/>
                <c:pt idx="0">
                  <c:v>Cancelled</c:v>
                </c:pt>
                <c:pt idx="1">
                  <c:v>Completed</c:v>
                </c:pt>
              </c:strCache>
            </c:strRef>
          </c:cat>
          <c:val>
            <c:numRef>
              <c:f>City_vs_trip_status!$F$3:$F$5</c:f>
              <c:numCache>
                <c:formatCode>General</c:formatCode>
                <c:ptCount val="2"/>
                <c:pt idx="0">
                  <c:v>2</c:v>
                </c:pt>
                <c:pt idx="1">
                  <c:v>16</c:v>
                </c:pt>
              </c:numCache>
            </c:numRef>
          </c:val>
          <c:smooth val="0"/>
          <c:extLst>
            <c:ext xmlns:c16="http://schemas.microsoft.com/office/drawing/2014/chart" uri="{C3380CC4-5D6E-409C-BE32-E72D297353CC}">
              <c16:uniqueId val="{00000008-80E1-4693-B5D0-72DFE248A9D5}"/>
            </c:ext>
          </c:extLst>
        </c:ser>
        <c:dLbls>
          <c:showLegendKey val="0"/>
          <c:showVal val="0"/>
          <c:showCatName val="0"/>
          <c:showSerName val="0"/>
          <c:showPercent val="0"/>
          <c:showBubbleSize val="0"/>
        </c:dLbls>
        <c:smooth val="0"/>
        <c:axId val="356018080"/>
        <c:axId val="356020576"/>
      </c:lineChart>
      <c:catAx>
        <c:axId val="3560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6020576"/>
        <c:crosses val="autoZero"/>
        <c:auto val="1"/>
        <c:lblAlgn val="ctr"/>
        <c:lblOffset val="100"/>
        <c:noMultiLvlLbl val="0"/>
      </c:catAx>
      <c:valAx>
        <c:axId val="35602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60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[ubet trip dashboard.xlsx]DRIVER_VS_DISTANCE!PivotTable1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DRIVER_VS_DISTANCE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DRIVER_VS_DISTANCE!$B$1</c:f>
              <c:strCache>
                <c:ptCount val="1"/>
                <c:pt idx="0">
                  <c:v>Total</c:v>
                </c:pt>
              </c:strCache>
            </c:strRef>
          </c:tx>
          <c:spPr>
            <a:solidFill>
              <a:schemeClr val="accent4"/>
            </a:solidFill>
            <a:ln>
              <a:noFill/>
            </a:ln>
            <a:effectLst/>
          </c:spPr>
          <c:invertIfNegative val="0"/>
          <c:cat>
            <c:strRef>
              <c:f>DRIVER_VS_DISTANCE!$A$2:$A$8</c:f>
              <c:strCache>
                <c:ptCount val="6"/>
                <c:pt idx="0">
                  <c:v>Anjali Mehta</c:v>
                </c:pt>
                <c:pt idx="1">
                  <c:v>Arjun Reddy</c:v>
                </c:pt>
                <c:pt idx="2">
                  <c:v>Neha Sharma</c:v>
                </c:pt>
                <c:pt idx="3">
                  <c:v>Priya Singh</c:v>
                </c:pt>
                <c:pt idx="4">
                  <c:v>Rajesh Nair</c:v>
                </c:pt>
                <c:pt idx="5">
                  <c:v>Vikram Patel</c:v>
                </c:pt>
              </c:strCache>
            </c:strRef>
          </c:cat>
          <c:val>
            <c:numRef>
              <c:f>DRIVER_VS_DISTANCE!$B$2:$B$8</c:f>
              <c:numCache>
                <c:formatCode>General</c:formatCode>
                <c:ptCount val="6"/>
                <c:pt idx="0">
                  <c:v>272.5</c:v>
                </c:pt>
                <c:pt idx="1">
                  <c:v>214.00000000000003</c:v>
                </c:pt>
                <c:pt idx="2">
                  <c:v>249.6</c:v>
                </c:pt>
                <c:pt idx="3">
                  <c:v>105.50000000000001</c:v>
                </c:pt>
                <c:pt idx="4">
                  <c:v>251.89999999999998</c:v>
                </c:pt>
                <c:pt idx="5">
                  <c:v>166.3</c:v>
                </c:pt>
              </c:numCache>
            </c:numRef>
          </c:val>
          <c:extLst>
            <c:ext xmlns:c16="http://schemas.microsoft.com/office/drawing/2014/chart" uri="{C3380CC4-5D6E-409C-BE32-E72D297353CC}">
              <c16:uniqueId val="{00000000-F621-4110-8FDB-C784669D98D1}"/>
            </c:ext>
          </c:extLst>
        </c:ser>
        <c:dLbls>
          <c:showLegendKey val="0"/>
          <c:showVal val="0"/>
          <c:showCatName val="0"/>
          <c:showSerName val="0"/>
          <c:showPercent val="0"/>
          <c:showBubbleSize val="0"/>
        </c:dLbls>
        <c:gapWidth val="219"/>
        <c:overlap val="-27"/>
        <c:axId val="240913439"/>
        <c:axId val="240913023"/>
      </c:barChart>
      <c:catAx>
        <c:axId val="24091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0913023"/>
        <c:crosses val="autoZero"/>
        <c:auto val="1"/>
        <c:lblAlgn val="ctr"/>
        <c:lblOffset val="100"/>
        <c:noMultiLvlLbl val="0"/>
      </c:catAx>
      <c:valAx>
        <c:axId val="24091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0913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4</xdr:row>
      <xdr:rowOff>7620</xdr:rowOff>
    </xdr:from>
    <xdr:to>
      <xdr:col>6</xdr:col>
      <xdr:colOff>83820</xdr:colOff>
      <xdr:row>13</xdr:row>
      <xdr:rowOff>91440</xdr:rowOff>
    </xdr:to>
    <xdr:graphicFrame macro="">
      <xdr:nvGraphicFramePr>
        <xdr:cNvPr id="4" name="Chart 3">
          <a:extLst>
            <a:ext uri="{FF2B5EF4-FFF2-40B4-BE49-F238E27FC236}">
              <a16:creationId xmlns:a16="http://schemas.microsoft.com/office/drawing/2014/main" id="{EF41665B-DD17-4F0E-B991-84C033B64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13</xdr:row>
      <xdr:rowOff>175260</xdr:rowOff>
    </xdr:from>
    <xdr:to>
      <xdr:col>5</xdr:col>
      <xdr:colOff>266700</xdr:colOff>
      <xdr:row>25</xdr:row>
      <xdr:rowOff>15240</xdr:rowOff>
    </xdr:to>
    <xdr:graphicFrame macro="">
      <xdr:nvGraphicFramePr>
        <xdr:cNvPr id="5" name="Chart 4">
          <a:extLst>
            <a:ext uri="{FF2B5EF4-FFF2-40B4-BE49-F238E27FC236}">
              <a16:creationId xmlns:a16="http://schemas.microsoft.com/office/drawing/2014/main" id="{25B5D190-0A8E-41EF-883D-8B1C8886F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236220</xdr:colOff>
      <xdr:row>3</xdr:row>
      <xdr:rowOff>205740</xdr:rowOff>
    </xdr:from>
    <xdr:to>
      <xdr:col>17</xdr:col>
      <xdr:colOff>198120</xdr:colOff>
      <xdr:row>13</xdr:row>
      <xdr:rowOff>121920</xdr:rowOff>
    </xdr:to>
    <xdr:graphicFrame macro="">
      <xdr:nvGraphicFramePr>
        <xdr:cNvPr id="6" name="Chart 5">
          <a:extLst>
            <a:ext uri="{FF2B5EF4-FFF2-40B4-BE49-F238E27FC236}">
              <a16:creationId xmlns:a16="http://schemas.microsoft.com/office/drawing/2014/main" id="{7689B93C-1FD3-4199-BEA6-0878BEB79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396240</xdr:colOff>
      <xdr:row>1</xdr:row>
      <xdr:rowOff>121920</xdr:rowOff>
    </xdr:from>
    <xdr:ext cx="3893820" cy="446212"/>
    <xdr:sp macro="" textlink="">
      <xdr:nvSpPr>
        <xdr:cNvPr id="7" name="TextBox 6">
          <a:extLst>
            <a:ext uri="{FF2B5EF4-FFF2-40B4-BE49-F238E27FC236}">
              <a16:creationId xmlns:a16="http://schemas.microsoft.com/office/drawing/2014/main" id="{0C5AA752-FBF6-4FF8-B4B2-1942743CB93E}"/>
            </a:ext>
          </a:extLst>
        </xdr:cNvPr>
        <xdr:cNvSpPr txBox="1"/>
      </xdr:nvSpPr>
      <xdr:spPr>
        <a:xfrm>
          <a:off x="4053840" y="304800"/>
          <a:ext cx="3893820" cy="446212"/>
        </a:xfrm>
        <a:prstGeom prst="rect">
          <a:avLst/>
        </a:prstGeom>
        <a:solidFill>
          <a:schemeClr val="bg2">
            <a:lumMod val="25000"/>
          </a:schemeClr>
        </a:solidFill>
        <a:ln w="12700">
          <a:solidFill>
            <a:schemeClr val="bg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4">
                  <a:lumMod val="60000"/>
                  <a:lumOff val="40000"/>
                </a:schemeClr>
              </a:solidFill>
              <a:latin typeface="Times New Roman" panose="02020603050405020304" pitchFamily="18" charset="0"/>
              <a:cs typeface="Times New Roman" panose="02020603050405020304" pitchFamily="18" charset="0"/>
            </a:rPr>
            <a:t>UBER TRIP DASHBOARD</a:t>
          </a:r>
        </a:p>
      </xdr:txBody>
    </xdr:sp>
    <xdr:clientData/>
  </xdr:oneCellAnchor>
  <xdr:twoCellAnchor editAs="oneCell">
    <xdr:from>
      <xdr:col>3</xdr:col>
      <xdr:colOff>167640</xdr:colOff>
      <xdr:row>0</xdr:row>
      <xdr:rowOff>68580</xdr:rowOff>
    </xdr:from>
    <xdr:to>
      <xdr:col>6</xdr:col>
      <xdr:colOff>167640</xdr:colOff>
      <xdr:row>3</xdr:row>
      <xdr:rowOff>198120</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CBB7FDF4-94E5-4953-939B-36EC765810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96440" y="68580"/>
              <a:ext cx="182880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167640</xdr:colOff>
      <xdr:row>3</xdr:row>
      <xdr:rowOff>236220</xdr:rowOff>
    </xdr:from>
    <xdr:to>
      <xdr:col>12</xdr:col>
      <xdr:colOff>106680</xdr:colOff>
      <xdr:row>13</xdr:row>
      <xdr:rowOff>91440</xdr:rowOff>
    </xdr:to>
    <xdr:graphicFrame macro="">
      <xdr:nvGraphicFramePr>
        <xdr:cNvPr id="9" name="Chart 8">
          <a:extLst>
            <a:ext uri="{FF2B5EF4-FFF2-40B4-BE49-F238E27FC236}">
              <a16:creationId xmlns:a16="http://schemas.microsoft.com/office/drawing/2014/main" id="{593886D0-5235-4322-9046-7FD545C51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213360</xdr:colOff>
      <xdr:row>14</xdr:row>
      <xdr:rowOff>7620</xdr:rowOff>
    </xdr:from>
    <xdr:to>
      <xdr:col>17</xdr:col>
      <xdr:colOff>274320</xdr:colOff>
      <xdr:row>25</xdr:row>
      <xdr:rowOff>22860</xdr:rowOff>
    </xdr:to>
    <xdr:graphicFrame macro="">
      <xdr:nvGraphicFramePr>
        <xdr:cNvPr id="10" name="Chart 9">
          <a:extLst>
            <a:ext uri="{FF2B5EF4-FFF2-40B4-BE49-F238E27FC236}">
              <a16:creationId xmlns:a16="http://schemas.microsoft.com/office/drawing/2014/main" id="{60B9E50C-4DA1-461A-A6BA-5419DA50D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76200</xdr:colOff>
      <xdr:row>0</xdr:row>
      <xdr:rowOff>68581</xdr:rowOff>
    </xdr:from>
    <xdr:to>
      <xdr:col>3</xdr:col>
      <xdr:colOff>76200</xdr:colOff>
      <xdr:row>3</xdr:row>
      <xdr:rowOff>190501</xdr:rowOff>
    </xdr:to>
    <mc:AlternateContent xmlns:mc="http://schemas.openxmlformats.org/markup-compatibility/2006" xmlns:a14="http://schemas.microsoft.com/office/drawing/2010/main">
      <mc:Choice Requires="a14">
        <xdr:graphicFrame macro="">
          <xdr:nvGraphicFramePr>
            <xdr:cNvPr id="11" name="Trip Status">
              <a:extLst>
                <a:ext uri="{FF2B5EF4-FFF2-40B4-BE49-F238E27FC236}">
                  <a16:creationId xmlns:a16="http://schemas.microsoft.com/office/drawing/2014/main" id="{A95FDD50-65AD-4B0B-8D68-77082FF46A83}"/>
                </a:ext>
              </a:extLst>
            </xdr:cNvPr>
            <xdr:cNvGraphicFramePr/>
          </xdr:nvGraphicFramePr>
          <xdr:xfrm>
            <a:off x="0" y="0"/>
            <a:ext cx="0" cy="0"/>
          </xdr:xfrm>
          <a:graphic>
            <a:graphicData uri="http://schemas.microsoft.com/office/drawing/2010/slicer">
              <sle:slicer xmlns:sle="http://schemas.microsoft.com/office/drawing/2010/slicer" name="Trip Status"/>
            </a:graphicData>
          </a:graphic>
        </xdr:graphicFrame>
      </mc:Choice>
      <mc:Fallback xmlns="">
        <xdr:sp macro="" textlink="">
          <xdr:nvSpPr>
            <xdr:cNvPr id="0" name=""/>
            <xdr:cNvSpPr>
              <a:spLocks noTextEdit="1"/>
            </xdr:cNvSpPr>
          </xdr:nvSpPr>
          <xdr:spPr>
            <a:xfrm>
              <a:off x="76200" y="68581"/>
              <a:ext cx="1828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0</xdr:row>
      <xdr:rowOff>45720</xdr:rowOff>
    </xdr:from>
    <xdr:to>
      <xdr:col>15</xdr:col>
      <xdr:colOff>259080</xdr:colOff>
      <xdr:row>3</xdr:row>
      <xdr:rowOff>213360</xdr:rowOff>
    </xdr:to>
    <xdr:pic>
      <xdr:nvPicPr>
        <xdr:cNvPr id="3" name="Picture 2">
          <a:extLst>
            <a:ext uri="{FF2B5EF4-FFF2-40B4-BE49-F238E27FC236}">
              <a16:creationId xmlns:a16="http://schemas.microsoft.com/office/drawing/2014/main" id="{2628CA00-78C0-48EE-818F-D961FC8E72A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91500" y="45720"/>
          <a:ext cx="1051560" cy="1051560"/>
        </a:xfrm>
        <a:prstGeom prst="rect">
          <a:avLst/>
        </a:prstGeom>
      </xdr:spPr>
    </xdr:pic>
    <xdr:clientData/>
  </xdr:twoCellAnchor>
  <xdr:twoCellAnchor>
    <xdr:from>
      <xdr:col>5</xdr:col>
      <xdr:colOff>304800</xdr:colOff>
      <xdr:row>13</xdr:row>
      <xdr:rowOff>175260</xdr:rowOff>
    </xdr:from>
    <xdr:to>
      <xdr:col>11</xdr:col>
      <xdr:colOff>114300</xdr:colOff>
      <xdr:row>25</xdr:row>
      <xdr:rowOff>0</xdr:rowOff>
    </xdr:to>
    <xdr:graphicFrame macro="">
      <xdr:nvGraphicFramePr>
        <xdr:cNvPr id="13" name="Chart 12">
          <a:extLst>
            <a:ext uri="{FF2B5EF4-FFF2-40B4-BE49-F238E27FC236}">
              <a16:creationId xmlns:a16="http://schemas.microsoft.com/office/drawing/2014/main" id="{A5A312D8-6EE4-4BFE-88C0-E824D3CBF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na vijayan" refreshedDate="46104.394532523147" createdVersion="6" refreshedVersion="6" minRefreshableVersion="3" recordCount="100" xr:uid="{697DBC73-453B-46EA-8DE6-5E54C2D6DC4B}">
  <cacheSource type="worksheet">
    <worksheetSource name="Sheet1"/>
  </cacheSource>
  <cacheFields count="10">
    <cacheField name="Date" numFmtId="22">
      <sharedItems containsSemiMixedTypes="0" containsNonDate="0" containsDate="1" containsString="0" minDate="2025-01-01T00:00:00" maxDate="2025-04-11T00:00:00" count="1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sharedItems>
      <fieldGroup par="9" base="0">
        <rangePr groupBy="days" startDate="2025-01-01T00:00:00" endDate="2025-04-1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1/2025"/>
        </groupItems>
      </fieldGroup>
    </cacheField>
    <cacheField name="City" numFmtId="0">
      <sharedItems count="5">
        <s v="Chennai"/>
        <s v="Hyderabad"/>
        <s v="Bengaluru"/>
        <s v="Delhi"/>
        <s v="Mumbai"/>
      </sharedItems>
    </cacheField>
    <cacheField name="Driver Name" numFmtId="0">
      <sharedItems count="6">
        <s v="Neha Sharma"/>
        <s v="Rajesh Nair"/>
        <s v="Priya Singh"/>
        <s v="Anjali Mehta"/>
        <s v="Vikram Patel"/>
        <s v="Arjun Reddy"/>
      </sharedItems>
    </cacheField>
    <cacheField name="Trip ID" numFmtId="0">
      <sharedItems count="100">
        <s v="T0001"/>
        <s v="T0002"/>
        <s v="T0003"/>
        <s v="T0004"/>
        <s v="T0005"/>
        <s v="T0006"/>
        <s v="T0007"/>
        <s v="T0008"/>
        <s v="T0009"/>
        <s v="T0010"/>
        <s v="T0011"/>
        <s v="T0012"/>
        <s v="T0013"/>
        <s v="T0014"/>
        <s v="T0015"/>
        <s v="T0016"/>
        <s v="T0017"/>
        <s v="T0018"/>
        <s v="T0019"/>
        <s v="T0020"/>
        <s v="T0021"/>
        <s v="T0022"/>
        <s v="T0023"/>
        <s v="T0024"/>
        <s v="T0025"/>
        <s v="T0026"/>
        <s v="T0027"/>
        <s v="T0028"/>
        <s v="T0029"/>
        <s v="T0030"/>
        <s v="T0031"/>
        <s v="T0032"/>
        <s v="T0033"/>
        <s v="T0034"/>
        <s v="T0035"/>
        <s v="T0036"/>
        <s v="T0037"/>
        <s v="T0038"/>
        <s v="T0039"/>
        <s v="T0040"/>
        <s v="T0041"/>
        <s v="T0042"/>
        <s v="T0043"/>
        <s v="T0044"/>
        <s v="T0045"/>
        <s v="T0046"/>
        <s v="T0047"/>
        <s v="T0048"/>
        <s v="T0049"/>
        <s v="T0050"/>
        <s v="T0051"/>
        <s v="T0052"/>
        <s v="T0053"/>
        <s v="T0054"/>
        <s v="T0055"/>
        <s v="T0056"/>
        <s v="T0057"/>
        <s v="T0058"/>
        <s v="T0059"/>
        <s v="T0060"/>
        <s v="T0061"/>
        <s v="T0062"/>
        <s v="T0063"/>
        <s v="T0064"/>
        <s v="T0065"/>
        <s v="T0066"/>
        <s v="T0067"/>
        <s v="T0068"/>
        <s v="T0069"/>
        <s v="T0070"/>
        <s v="T0071"/>
        <s v="T0072"/>
        <s v="T0073"/>
        <s v="T0074"/>
        <s v="T0075"/>
        <s v="T0076"/>
        <s v="T0077"/>
        <s v="T0078"/>
        <s v="T0079"/>
        <s v="T0080"/>
        <s v="T0081"/>
        <s v="T0082"/>
        <s v="T0083"/>
        <s v="T0084"/>
        <s v="T0085"/>
        <s v="T0086"/>
        <s v="T0087"/>
        <s v="T0088"/>
        <s v="T0089"/>
        <s v="T0090"/>
        <s v="T0091"/>
        <s v="T0092"/>
        <s v="T0093"/>
        <s v="T0094"/>
        <s v="T0095"/>
        <s v="T0096"/>
        <s v="T0097"/>
        <s v="T0098"/>
        <s v="T0099"/>
        <s v="T0100"/>
      </sharedItems>
    </cacheField>
    <cacheField name="Distance (km)" numFmtId="0">
      <sharedItems containsSemiMixedTypes="0" containsString="0" containsNumber="1" minValue="3.3" maxValue="19.899999999999999" count="74">
        <n v="19.600000000000001"/>
        <n v="10"/>
        <n v="3.6"/>
        <n v="8.9"/>
        <n v="13.8"/>
        <n v="14.6"/>
        <n v="12"/>
        <n v="10.6"/>
        <n v="12.4"/>
        <n v="13.1"/>
        <n v="4.4000000000000004"/>
        <n v="9.3000000000000007"/>
        <n v="7.1"/>
        <n v="16.7"/>
        <n v="11"/>
        <n v="19.7"/>
        <n v="9.8000000000000007"/>
        <n v="16.899999999999999"/>
        <n v="16.600000000000001"/>
        <n v="5.6"/>
        <n v="11.6"/>
        <n v="14.8"/>
        <n v="17.600000000000001"/>
        <n v="8.5"/>
        <n v="6.7"/>
        <n v="15.1"/>
        <n v="16.8"/>
        <n v="4.5999999999999996"/>
        <n v="19"/>
        <n v="11.8"/>
        <n v="17.2"/>
        <n v="14.5"/>
        <n v="15.5"/>
        <n v="6.6"/>
        <n v="12.2"/>
        <n v="6.9"/>
        <n v="6"/>
        <n v="7.4"/>
        <n v="19.899999999999999"/>
        <n v="19.399999999999999"/>
        <n v="12.5"/>
        <n v="18"/>
        <n v="6.2"/>
        <n v="7.7"/>
        <n v="14.9"/>
        <n v="17.399999999999999"/>
        <n v="9.9"/>
        <n v="18.100000000000001"/>
        <n v="17.5"/>
        <n v="18.899999999999999"/>
        <n v="16.399999999999999"/>
        <n v="14.4"/>
        <n v="12.9"/>
        <n v="7.8"/>
        <n v="8.1999999999999993"/>
        <n v="11.3"/>
        <n v="3.3"/>
        <n v="11.4"/>
        <n v="9.1999999999999993"/>
        <n v="15.7"/>
        <n v="15.3"/>
        <n v="7.3"/>
        <n v="13"/>
        <n v="18.399999999999999"/>
        <n v="10.4"/>
        <n v="9"/>
        <n v="14"/>
        <n v="17.7"/>
        <n v="11.5"/>
        <n v="12.7"/>
        <n v="16.100000000000001"/>
        <n v="3.7"/>
        <n v="19.2"/>
        <n v="8.6"/>
      </sharedItems>
    </cacheField>
    <cacheField name="Fare (₹)" numFmtId="0">
      <sharedItems containsSemiMixedTypes="0" containsString="0" containsNumber="1" minValue="103.63" maxValue="787.29" count="100">
        <n v="486.94"/>
        <n v="500.6"/>
        <n v="786.23"/>
        <n v="152.74"/>
        <n v="313.99"/>
        <n v="233.64"/>
        <n v="287.93"/>
        <n v="439.7"/>
        <n v="360.88"/>
        <n v="376.28"/>
        <n v="690.95"/>
        <n v="751.01"/>
        <n v="149.29"/>
        <n v="246.24"/>
        <n v="569.79999999999995"/>
        <n v="351.05"/>
        <n v="277.91000000000003"/>
        <n v="306.7"/>
        <n v="325.79000000000002"/>
        <n v="694.07"/>
        <n v="195.63"/>
        <n v="596.24"/>
        <n v="486.97"/>
        <n v="307.56"/>
        <n v="393.85"/>
        <n v="279.33999999999997"/>
        <n v="528.05999999999995"/>
        <n v="157.12"/>
        <n v="103.63"/>
        <n v="539.53"/>
        <n v="235.99"/>
        <n v="149.66"/>
        <n v="377.75"/>
        <n v="135.54"/>
        <n v="720.63"/>
        <n v="119.33"/>
        <n v="505.21"/>
        <n v="406.93"/>
        <n v="570.41999999999996"/>
        <n v="329.71"/>
        <n v="208.53"/>
        <n v="787.29"/>
        <n v="687.25"/>
        <n v="702.28"/>
        <n v="275.18"/>
        <n v="127.18"/>
        <n v="312.29000000000002"/>
        <n v="475.96"/>
        <n v="328.66"/>
        <n v="679.51"/>
        <n v="290.08"/>
        <n v="775.68"/>
        <n v="420.09"/>
        <n v="689.42"/>
        <n v="236.07"/>
        <n v="387.95"/>
        <n v="589.66"/>
        <n v="196.85"/>
        <n v="192.92"/>
        <n v="778.68"/>
        <n v="600.22"/>
        <n v="128.75"/>
        <n v="379.17"/>
        <n v="403.46"/>
        <n v="620.83000000000004"/>
        <n v="275.60000000000002"/>
        <n v="229.03"/>
        <n v="156.61000000000001"/>
        <n v="399.82"/>
        <n v="581.95000000000005"/>
        <n v="140.74"/>
        <n v="740.65"/>
        <n v="409.65"/>
        <n v="267.85000000000002"/>
        <n v="165.71"/>
        <n v="228.01"/>
        <n v="754.23"/>
        <n v="546.79"/>
        <n v="461.69"/>
        <n v="559.98"/>
        <n v="404.97"/>
        <n v="611.03"/>
        <n v="133.4"/>
        <n v="496.23"/>
        <n v="211.05"/>
        <n v="184.12"/>
        <n v="339.32"/>
        <n v="164.26"/>
        <n v="165.91"/>
        <n v="317.99"/>
        <n v="785.66"/>
        <n v="222.73"/>
        <n v="112.01"/>
        <n v="634.36"/>
        <n v="664.84"/>
        <n v="342.41"/>
        <n v="425.27"/>
        <n v="554.84"/>
        <n v="133.63999999999999"/>
        <n v="764.4"/>
      </sharedItems>
    </cacheField>
    <cacheField name="Rating" numFmtId="0">
      <sharedItems containsSemiMixedTypes="0" containsString="0" containsNumber="1" minValue="3.5" maxValue="5"/>
    </cacheField>
    <cacheField name="Payment Type" numFmtId="0">
      <sharedItems count="3">
        <s v="UPI"/>
        <s v="Cash"/>
        <s v="Card"/>
      </sharedItems>
    </cacheField>
    <cacheField name="Trip Status" numFmtId="0">
      <sharedItems count="2">
        <s v="Completed"/>
        <s v="Cancelled"/>
      </sharedItems>
    </cacheField>
    <cacheField name="Months" numFmtId="0" databaseField="0">
      <fieldGroup base="0">
        <rangePr groupBy="months" startDate="2025-01-01T00:00:00" endDate="2025-04-11T00:00:00"/>
        <groupItems count="14">
          <s v="&lt;1/1/2025"/>
          <s v="Jan"/>
          <s v="Feb"/>
          <s v="Mar"/>
          <s v="Apr"/>
          <s v="May"/>
          <s v="Jun"/>
          <s v="Jul"/>
          <s v="Aug"/>
          <s v="Sep"/>
          <s v="Oct"/>
          <s v="Nov"/>
          <s v="Dec"/>
          <s v="&gt;4/11/2025"/>
        </groupItems>
      </fieldGroup>
    </cacheField>
  </cacheFields>
  <extLst>
    <ext xmlns:x14="http://schemas.microsoft.com/office/spreadsheetml/2009/9/main" uri="{725AE2AE-9491-48be-B2B4-4EB974FC3084}">
      <x14:pivotCacheDefinition pivotCacheId="1590317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n v="4.8"/>
    <x v="0"/>
    <x v="0"/>
  </r>
  <r>
    <x v="1"/>
    <x v="1"/>
    <x v="1"/>
    <x v="1"/>
    <x v="1"/>
    <x v="1"/>
    <n v="3.9"/>
    <x v="1"/>
    <x v="0"/>
  </r>
  <r>
    <x v="2"/>
    <x v="2"/>
    <x v="0"/>
    <x v="2"/>
    <x v="2"/>
    <x v="2"/>
    <n v="3.5"/>
    <x v="2"/>
    <x v="1"/>
  </r>
  <r>
    <x v="3"/>
    <x v="1"/>
    <x v="2"/>
    <x v="3"/>
    <x v="3"/>
    <x v="3"/>
    <n v="4.9000000000000004"/>
    <x v="2"/>
    <x v="0"/>
  </r>
  <r>
    <x v="4"/>
    <x v="1"/>
    <x v="1"/>
    <x v="4"/>
    <x v="4"/>
    <x v="4"/>
    <n v="4.3"/>
    <x v="0"/>
    <x v="0"/>
  </r>
  <r>
    <x v="5"/>
    <x v="3"/>
    <x v="3"/>
    <x v="5"/>
    <x v="5"/>
    <x v="5"/>
    <n v="4.3"/>
    <x v="1"/>
    <x v="0"/>
  </r>
  <r>
    <x v="6"/>
    <x v="2"/>
    <x v="4"/>
    <x v="6"/>
    <x v="6"/>
    <x v="6"/>
    <n v="4.5"/>
    <x v="2"/>
    <x v="0"/>
  </r>
  <r>
    <x v="7"/>
    <x v="2"/>
    <x v="5"/>
    <x v="7"/>
    <x v="7"/>
    <x v="7"/>
    <n v="4.4000000000000004"/>
    <x v="2"/>
    <x v="0"/>
  </r>
  <r>
    <x v="8"/>
    <x v="2"/>
    <x v="0"/>
    <x v="8"/>
    <x v="8"/>
    <x v="8"/>
    <n v="4.9000000000000004"/>
    <x v="1"/>
    <x v="0"/>
  </r>
  <r>
    <x v="9"/>
    <x v="1"/>
    <x v="3"/>
    <x v="9"/>
    <x v="9"/>
    <x v="9"/>
    <n v="4.9000000000000004"/>
    <x v="1"/>
    <x v="0"/>
  </r>
  <r>
    <x v="10"/>
    <x v="0"/>
    <x v="5"/>
    <x v="10"/>
    <x v="10"/>
    <x v="10"/>
    <n v="4.8"/>
    <x v="2"/>
    <x v="0"/>
  </r>
  <r>
    <x v="11"/>
    <x v="2"/>
    <x v="5"/>
    <x v="11"/>
    <x v="11"/>
    <x v="11"/>
    <n v="4.5"/>
    <x v="2"/>
    <x v="0"/>
  </r>
  <r>
    <x v="12"/>
    <x v="1"/>
    <x v="1"/>
    <x v="12"/>
    <x v="12"/>
    <x v="12"/>
    <n v="4.7"/>
    <x v="1"/>
    <x v="0"/>
  </r>
  <r>
    <x v="13"/>
    <x v="3"/>
    <x v="5"/>
    <x v="13"/>
    <x v="13"/>
    <x v="13"/>
    <n v="4.5"/>
    <x v="2"/>
    <x v="0"/>
  </r>
  <r>
    <x v="14"/>
    <x v="0"/>
    <x v="4"/>
    <x v="14"/>
    <x v="14"/>
    <x v="14"/>
    <n v="4.4000000000000004"/>
    <x v="0"/>
    <x v="0"/>
  </r>
  <r>
    <x v="15"/>
    <x v="3"/>
    <x v="3"/>
    <x v="15"/>
    <x v="15"/>
    <x v="15"/>
    <n v="3.7"/>
    <x v="0"/>
    <x v="0"/>
  </r>
  <r>
    <x v="16"/>
    <x v="0"/>
    <x v="5"/>
    <x v="16"/>
    <x v="16"/>
    <x v="16"/>
    <n v="4.7"/>
    <x v="1"/>
    <x v="1"/>
  </r>
  <r>
    <x v="17"/>
    <x v="1"/>
    <x v="1"/>
    <x v="17"/>
    <x v="17"/>
    <x v="17"/>
    <n v="4.7"/>
    <x v="1"/>
    <x v="0"/>
  </r>
  <r>
    <x v="18"/>
    <x v="4"/>
    <x v="4"/>
    <x v="18"/>
    <x v="18"/>
    <x v="18"/>
    <n v="4.4000000000000004"/>
    <x v="1"/>
    <x v="0"/>
  </r>
  <r>
    <x v="19"/>
    <x v="0"/>
    <x v="2"/>
    <x v="19"/>
    <x v="19"/>
    <x v="19"/>
    <n v="4.7"/>
    <x v="0"/>
    <x v="0"/>
  </r>
  <r>
    <x v="20"/>
    <x v="3"/>
    <x v="3"/>
    <x v="20"/>
    <x v="20"/>
    <x v="20"/>
    <n v="4.5"/>
    <x v="2"/>
    <x v="0"/>
  </r>
  <r>
    <x v="21"/>
    <x v="1"/>
    <x v="5"/>
    <x v="21"/>
    <x v="21"/>
    <x v="21"/>
    <n v="3.8"/>
    <x v="0"/>
    <x v="0"/>
  </r>
  <r>
    <x v="22"/>
    <x v="0"/>
    <x v="1"/>
    <x v="22"/>
    <x v="22"/>
    <x v="22"/>
    <n v="3.9"/>
    <x v="2"/>
    <x v="0"/>
  </r>
  <r>
    <x v="23"/>
    <x v="4"/>
    <x v="2"/>
    <x v="23"/>
    <x v="23"/>
    <x v="23"/>
    <n v="3.8"/>
    <x v="0"/>
    <x v="0"/>
  </r>
  <r>
    <x v="24"/>
    <x v="4"/>
    <x v="2"/>
    <x v="24"/>
    <x v="24"/>
    <x v="24"/>
    <n v="4.0999999999999996"/>
    <x v="2"/>
    <x v="0"/>
  </r>
  <r>
    <x v="25"/>
    <x v="2"/>
    <x v="0"/>
    <x v="25"/>
    <x v="25"/>
    <x v="25"/>
    <n v="3.6"/>
    <x v="0"/>
    <x v="0"/>
  </r>
  <r>
    <x v="26"/>
    <x v="2"/>
    <x v="4"/>
    <x v="26"/>
    <x v="26"/>
    <x v="26"/>
    <n v="4.4000000000000004"/>
    <x v="1"/>
    <x v="1"/>
  </r>
  <r>
    <x v="27"/>
    <x v="3"/>
    <x v="5"/>
    <x v="27"/>
    <x v="3"/>
    <x v="27"/>
    <n v="4"/>
    <x v="0"/>
    <x v="0"/>
  </r>
  <r>
    <x v="28"/>
    <x v="0"/>
    <x v="1"/>
    <x v="28"/>
    <x v="27"/>
    <x v="28"/>
    <n v="4.5"/>
    <x v="2"/>
    <x v="0"/>
  </r>
  <r>
    <x v="29"/>
    <x v="0"/>
    <x v="0"/>
    <x v="29"/>
    <x v="28"/>
    <x v="29"/>
    <n v="4.0999999999999996"/>
    <x v="0"/>
    <x v="0"/>
  </r>
  <r>
    <x v="30"/>
    <x v="2"/>
    <x v="4"/>
    <x v="30"/>
    <x v="16"/>
    <x v="30"/>
    <n v="4.5"/>
    <x v="0"/>
    <x v="0"/>
  </r>
  <r>
    <x v="31"/>
    <x v="0"/>
    <x v="0"/>
    <x v="31"/>
    <x v="29"/>
    <x v="31"/>
    <n v="4"/>
    <x v="0"/>
    <x v="0"/>
  </r>
  <r>
    <x v="32"/>
    <x v="0"/>
    <x v="3"/>
    <x v="32"/>
    <x v="30"/>
    <x v="32"/>
    <n v="3.9"/>
    <x v="1"/>
    <x v="0"/>
  </r>
  <r>
    <x v="33"/>
    <x v="4"/>
    <x v="4"/>
    <x v="33"/>
    <x v="31"/>
    <x v="33"/>
    <n v="4.2"/>
    <x v="0"/>
    <x v="0"/>
  </r>
  <r>
    <x v="34"/>
    <x v="2"/>
    <x v="4"/>
    <x v="34"/>
    <x v="32"/>
    <x v="34"/>
    <n v="4.5"/>
    <x v="1"/>
    <x v="0"/>
  </r>
  <r>
    <x v="35"/>
    <x v="1"/>
    <x v="5"/>
    <x v="35"/>
    <x v="33"/>
    <x v="35"/>
    <n v="4"/>
    <x v="1"/>
    <x v="0"/>
  </r>
  <r>
    <x v="36"/>
    <x v="2"/>
    <x v="4"/>
    <x v="36"/>
    <x v="34"/>
    <x v="36"/>
    <n v="4.9000000000000004"/>
    <x v="0"/>
    <x v="1"/>
  </r>
  <r>
    <x v="37"/>
    <x v="1"/>
    <x v="0"/>
    <x v="37"/>
    <x v="21"/>
    <x v="37"/>
    <n v="3.6"/>
    <x v="0"/>
    <x v="0"/>
  </r>
  <r>
    <x v="38"/>
    <x v="4"/>
    <x v="4"/>
    <x v="38"/>
    <x v="35"/>
    <x v="38"/>
    <n v="4.0999999999999996"/>
    <x v="0"/>
    <x v="0"/>
  </r>
  <r>
    <x v="39"/>
    <x v="3"/>
    <x v="5"/>
    <x v="39"/>
    <x v="36"/>
    <x v="39"/>
    <n v="5"/>
    <x v="2"/>
    <x v="0"/>
  </r>
  <r>
    <x v="40"/>
    <x v="0"/>
    <x v="5"/>
    <x v="40"/>
    <x v="15"/>
    <x v="40"/>
    <n v="4.3"/>
    <x v="0"/>
    <x v="0"/>
  </r>
  <r>
    <x v="41"/>
    <x v="4"/>
    <x v="3"/>
    <x v="41"/>
    <x v="29"/>
    <x v="41"/>
    <n v="4.0999999999999996"/>
    <x v="1"/>
    <x v="0"/>
  </r>
  <r>
    <x v="42"/>
    <x v="0"/>
    <x v="0"/>
    <x v="42"/>
    <x v="37"/>
    <x v="42"/>
    <n v="4.4000000000000004"/>
    <x v="0"/>
    <x v="0"/>
  </r>
  <r>
    <x v="43"/>
    <x v="3"/>
    <x v="2"/>
    <x v="43"/>
    <x v="38"/>
    <x v="43"/>
    <n v="4.4000000000000004"/>
    <x v="2"/>
    <x v="0"/>
  </r>
  <r>
    <x v="44"/>
    <x v="3"/>
    <x v="2"/>
    <x v="44"/>
    <x v="39"/>
    <x v="44"/>
    <n v="4.5999999999999996"/>
    <x v="0"/>
    <x v="0"/>
  </r>
  <r>
    <x v="45"/>
    <x v="4"/>
    <x v="4"/>
    <x v="45"/>
    <x v="40"/>
    <x v="45"/>
    <n v="3.7"/>
    <x v="2"/>
    <x v="1"/>
  </r>
  <r>
    <x v="46"/>
    <x v="3"/>
    <x v="3"/>
    <x v="46"/>
    <x v="41"/>
    <x v="46"/>
    <n v="3.9"/>
    <x v="2"/>
    <x v="0"/>
  </r>
  <r>
    <x v="47"/>
    <x v="1"/>
    <x v="1"/>
    <x v="47"/>
    <x v="42"/>
    <x v="47"/>
    <n v="4.4000000000000004"/>
    <x v="0"/>
    <x v="1"/>
  </r>
  <r>
    <x v="48"/>
    <x v="3"/>
    <x v="4"/>
    <x v="48"/>
    <x v="43"/>
    <x v="48"/>
    <n v="4.8"/>
    <x v="1"/>
    <x v="0"/>
  </r>
  <r>
    <x v="49"/>
    <x v="0"/>
    <x v="3"/>
    <x v="49"/>
    <x v="44"/>
    <x v="49"/>
    <n v="4.3"/>
    <x v="2"/>
    <x v="0"/>
  </r>
  <r>
    <x v="50"/>
    <x v="0"/>
    <x v="0"/>
    <x v="50"/>
    <x v="45"/>
    <x v="50"/>
    <n v="3.9"/>
    <x v="0"/>
    <x v="0"/>
  </r>
  <r>
    <x v="51"/>
    <x v="0"/>
    <x v="0"/>
    <x v="51"/>
    <x v="22"/>
    <x v="51"/>
    <n v="4.5"/>
    <x v="0"/>
    <x v="0"/>
  </r>
  <r>
    <x v="52"/>
    <x v="0"/>
    <x v="0"/>
    <x v="52"/>
    <x v="46"/>
    <x v="52"/>
    <n v="4.5999999999999996"/>
    <x v="1"/>
    <x v="0"/>
  </r>
  <r>
    <x v="53"/>
    <x v="1"/>
    <x v="0"/>
    <x v="53"/>
    <x v="47"/>
    <x v="53"/>
    <n v="3.9"/>
    <x v="2"/>
    <x v="0"/>
  </r>
  <r>
    <x v="54"/>
    <x v="2"/>
    <x v="0"/>
    <x v="54"/>
    <x v="48"/>
    <x v="54"/>
    <n v="4.0999999999999996"/>
    <x v="2"/>
    <x v="0"/>
  </r>
  <r>
    <x v="55"/>
    <x v="4"/>
    <x v="3"/>
    <x v="55"/>
    <x v="49"/>
    <x v="55"/>
    <n v="4.3"/>
    <x v="0"/>
    <x v="1"/>
  </r>
  <r>
    <x v="56"/>
    <x v="0"/>
    <x v="3"/>
    <x v="56"/>
    <x v="50"/>
    <x v="56"/>
    <n v="4.2"/>
    <x v="0"/>
    <x v="0"/>
  </r>
  <r>
    <x v="57"/>
    <x v="3"/>
    <x v="5"/>
    <x v="57"/>
    <x v="51"/>
    <x v="57"/>
    <n v="4.0999999999999996"/>
    <x v="1"/>
    <x v="0"/>
  </r>
  <r>
    <x v="58"/>
    <x v="0"/>
    <x v="2"/>
    <x v="58"/>
    <x v="52"/>
    <x v="58"/>
    <n v="3.9"/>
    <x v="1"/>
    <x v="0"/>
  </r>
  <r>
    <x v="59"/>
    <x v="3"/>
    <x v="0"/>
    <x v="59"/>
    <x v="11"/>
    <x v="59"/>
    <n v="3.6"/>
    <x v="2"/>
    <x v="0"/>
  </r>
  <r>
    <x v="60"/>
    <x v="3"/>
    <x v="1"/>
    <x v="60"/>
    <x v="28"/>
    <x v="60"/>
    <n v="3.6"/>
    <x v="2"/>
    <x v="0"/>
  </r>
  <r>
    <x v="61"/>
    <x v="0"/>
    <x v="3"/>
    <x v="61"/>
    <x v="0"/>
    <x v="61"/>
    <n v="4.9000000000000004"/>
    <x v="0"/>
    <x v="0"/>
  </r>
  <r>
    <x v="62"/>
    <x v="1"/>
    <x v="1"/>
    <x v="62"/>
    <x v="53"/>
    <x v="62"/>
    <n v="4.8"/>
    <x v="2"/>
    <x v="0"/>
  </r>
  <r>
    <x v="63"/>
    <x v="3"/>
    <x v="1"/>
    <x v="63"/>
    <x v="54"/>
    <x v="63"/>
    <n v="4"/>
    <x v="1"/>
    <x v="0"/>
  </r>
  <r>
    <x v="64"/>
    <x v="3"/>
    <x v="1"/>
    <x v="64"/>
    <x v="55"/>
    <x v="64"/>
    <n v="4.9000000000000004"/>
    <x v="1"/>
    <x v="0"/>
  </r>
  <r>
    <x v="65"/>
    <x v="0"/>
    <x v="5"/>
    <x v="65"/>
    <x v="7"/>
    <x v="65"/>
    <n v="4.5"/>
    <x v="0"/>
    <x v="0"/>
  </r>
  <r>
    <x v="66"/>
    <x v="3"/>
    <x v="3"/>
    <x v="66"/>
    <x v="38"/>
    <x v="66"/>
    <n v="4.2"/>
    <x v="1"/>
    <x v="0"/>
  </r>
  <r>
    <x v="67"/>
    <x v="3"/>
    <x v="1"/>
    <x v="67"/>
    <x v="36"/>
    <x v="67"/>
    <n v="4.2"/>
    <x v="1"/>
    <x v="0"/>
  </r>
  <r>
    <x v="68"/>
    <x v="0"/>
    <x v="0"/>
    <x v="68"/>
    <x v="56"/>
    <x v="68"/>
    <n v="3.6"/>
    <x v="1"/>
    <x v="0"/>
  </r>
  <r>
    <x v="69"/>
    <x v="0"/>
    <x v="4"/>
    <x v="69"/>
    <x v="57"/>
    <x v="69"/>
    <n v="3.6"/>
    <x v="1"/>
    <x v="0"/>
  </r>
  <r>
    <x v="70"/>
    <x v="4"/>
    <x v="1"/>
    <x v="70"/>
    <x v="36"/>
    <x v="70"/>
    <n v="4.4000000000000004"/>
    <x v="0"/>
    <x v="0"/>
  </r>
  <r>
    <x v="71"/>
    <x v="1"/>
    <x v="5"/>
    <x v="71"/>
    <x v="58"/>
    <x v="71"/>
    <n v="4.3"/>
    <x v="0"/>
    <x v="0"/>
  </r>
  <r>
    <x v="72"/>
    <x v="1"/>
    <x v="3"/>
    <x v="72"/>
    <x v="59"/>
    <x v="72"/>
    <n v="3.8"/>
    <x v="2"/>
    <x v="0"/>
  </r>
  <r>
    <x v="73"/>
    <x v="3"/>
    <x v="5"/>
    <x v="73"/>
    <x v="60"/>
    <x v="73"/>
    <n v="4.9000000000000004"/>
    <x v="1"/>
    <x v="0"/>
  </r>
  <r>
    <x v="74"/>
    <x v="1"/>
    <x v="1"/>
    <x v="74"/>
    <x v="54"/>
    <x v="74"/>
    <n v="4.7"/>
    <x v="2"/>
    <x v="0"/>
  </r>
  <r>
    <x v="75"/>
    <x v="3"/>
    <x v="3"/>
    <x v="75"/>
    <x v="34"/>
    <x v="75"/>
    <n v="3.7"/>
    <x v="0"/>
    <x v="0"/>
  </r>
  <r>
    <x v="76"/>
    <x v="4"/>
    <x v="4"/>
    <x v="76"/>
    <x v="20"/>
    <x v="76"/>
    <n v="4.9000000000000004"/>
    <x v="0"/>
    <x v="0"/>
  </r>
  <r>
    <x v="77"/>
    <x v="0"/>
    <x v="1"/>
    <x v="77"/>
    <x v="4"/>
    <x v="77"/>
    <n v="5"/>
    <x v="0"/>
    <x v="0"/>
  </r>
  <r>
    <x v="78"/>
    <x v="0"/>
    <x v="5"/>
    <x v="78"/>
    <x v="61"/>
    <x v="78"/>
    <n v="5"/>
    <x v="0"/>
    <x v="1"/>
  </r>
  <r>
    <x v="79"/>
    <x v="0"/>
    <x v="2"/>
    <x v="79"/>
    <x v="62"/>
    <x v="79"/>
    <n v="3.6"/>
    <x v="0"/>
    <x v="0"/>
  </r>
  <r>
    <x v="80"/>
    <x v="1"/>
    <x v="0"/>
    <x v="80"/>
    <x v="0"/>
    <x v="80"/>
    <n v="4.5999999999999996"/>
    <x v="0"/>
    <x v="1"/>
  </r>
  <r>
    <x v="81"/>
    <x v="4"/>
    <x v="5"/>
    <x v="81"/>
    <x v="55"/>
    <x v="81"/>
    <n v="4.3"/>
    <x v="0"/>
    <x v="0"/>
  </r>
  <r>
    <x v="82"/>
    <x v="1"/>
    <x v="3"/>
    <x v="82"/>
    <x v="63"/>
    <x v="82"/>
    <n v="4.5999999999999996"/>
    <x v="1"/>
    <x v="0"/>
  </r>
  <r>
    <x v="83"/>
    <x v="1"/>
    <x v="1"/>
    <x v="83"/>
    <x v="64"/>
    <x v="83"/>
    <n v="5"/>
    <x v="2"/>
    <x v="0"/>
  </r>
  <r>
    <x v="84"/>
    <x v="4"/>
    <x v="0"/>
    <x v="84"/>
    <x v="65"/>
    <x v="84"/>
    <n v="4.5"/>
    <x v="0"/>
    <x v="0"/>
  </r>
  <r>
    <x v="85"/>
    <x v="4"/>
    <x v="1"/>
    <x v="85"/>
    <x v="66"/>
    <x v="85"/>
    <n v="4.8"/>
    <x v="1"/>
    <x v="0"/>
  </r>
  <r>
    <x v="86"/>
    <x v="4"/>
    <x v="3"/>
    <x v="86"/>
    <x v="51"/>
    <x v="86"/>
    <n v="4.8"/>
    <x v="1"/>
    <x v="0"/>
  </r>
  <r>
    <x v="87"/>
    <x v="4"/>
    <x v="1"/>
    <x v="87"/>
    <x v="67"/>
    <x v="87"/>
    <n v="4.8"/>
    <x v="2"/>
    <x v="0"/>
  </r>
  <r>
    <x v="88"/>
    <x v="0"/>
    <x v="2"/>
    <x v="88"/>
    <x v="35"/>
    <x v="88"/>
    <n v="4.0999999999999996"/>
    <x v="0"/>
    <x v="0"/>
  </r>
  <r>
    <x v="89"/>
    <x v="2"/>
    <x v="0"/>
    <x v="89"/>
    <x v="68"/>
    <x v="89"/>
    <n v="3.8"/>
    <x v="2"/>
    <x v="0"/>
  </r>
  <r>
    <x v="90"/>
    <x v="2"/>
    <x v="0"/>
    <x v="90"/>
    <x v="69"/>
    <x v="90"/>
    <n v="4.0999999999999996"/>
    <x v="0"/>
    <x v="1"/>
  </r>
  <r>
    <x v="91"/>
    <x v="4"/>
    <x v="3"/>
    <x v="91"/>
    <x v="70"/>
    <x v="91"/>
    <n v="4.8"/>
    <x v="1"/>
    <x v="0"/>
  </r>
  <r>
    <x v="92"/>
    <x v="2"/>
    <x v="2"/>
    <x v="92"/>
    <x v="71"/>
    <x v="92"/>
    <n v="3.7"/>
    <x v="1"/>
    <x v="0"/>
  </r>
  <r>
    <x v="93"/>
    <x v="2"/>
    <x v="5"/>
    <x v="93"/>
    <x v="38"/>
    <x v="93"/>
    <n v="4.3"/>
    <x v="1"/>
    <x v="0"/>
  </r>
  <r>
    <x v="94"/>
    <x v="4"/>
    <x v="1"/>
    <x v="94"/>
    <x v="14"/>
    <x v="94"/>
    <n v="3.8"/>
    <x v="1"/>
    <x v="0"/>
  </r>
  <r>
    <x v="95"/>
    <x v="2"/>
    <x v="4"/>
    <x v="95"/>
    <x v="53"/>
    <x v="95"/>
    <n v="4.4000000000000004"/>
    <x v="2"/>
    <x v="0"/>
  </r>
  <r>
    <x v="96"/>
    <x v="1"/>
    <x v="1"/>
    <x v="96"/>
    <x v="41"/>
    <x v="96"/>
    <n v="4.8"/>
    <x v="0"/>
    <x v="0"/>
  </r>
  <r>
    <x v="97"/>
    <x v="3"/>
    <x v="1"/>
    <x v="97"/>
    <x v="59"/>
    <x v="97"/>
    <n v="4.8"/>
    <x v="0"/>
    <x v="0"/>
  </r>
  <r>
    <x v="98"/>
    <x v="3"/>
    <x v="5"/>
    <x v="98"/>
    <x v="72"/>
    <x v="98"/>
    <n v="3.9"/>
    <x v="2"/>
    <x v="0"/>
  </r>
  <r>
    <x v="99"/>
    <x v="4"/>
    <x v="1"/>
    <x v="99"/>
    <x v="73"/>
    <x v="99"/>
    <n v="4.900000000000000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529B68-0A93-4A27-9DC4-D23DE7F35DB4}"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8" firstHeaderRow="1" firstDataRow="1" firstDataCol="1"/>
  <pivotFields count="10">
    <pivotField numFmtId="22" showAll="0"/>
    <pivotField showAll="0">
      <items count="6">
        <item x="2"/>
        <item x="0"/>
        <item x="3"/>
        <item x="1"/>
        <item x="4"/>
        <item t="default"/>
      </items>
    </pivotField>
    <pivotField axis="axisRow" showAll="0">
      <items count="7">
        <item x="3"/>
        <item x="5"/>
        <item x="0"/>
        <item x="2"/>
        <item x="1"/>
        <item x="4"/>
        <item t="default"/>
      </items>
    </pivotField>
    <pivotField showAll="0"/>
    <pivotField dataField="1" showAll="0"/>
    <pivotField showAll="0"/>
    <pivotField showAll="0"/>
    <pivotField showAll="0"/>
    <pivotField showAll="0"/>
    <pivotField showAll="0" defaultSubtotal="0"/>
  </pivotFields>
  <rowFields count="1">
    <field x="2"/>
  </rowFields>
  <rowItems count="7">
    <i>
      <x/>
    </i>
    <i>
      <x v="1"/>
    </i>
    <i>
      <x v="2"/>
    </i>
    <i>
      <x v="3"/>
    </i>
    <i>
      <x v="4"/>
    </i>
    <i>
      <x v="5"/>
    </i>
    <i t="grand">
      <x/>
    </i>
  </rowItems>
  <colItems count="1">
    <i/>
  </colItems>
  <dataFields count="1">
    <dataField name="Sum of Distance (km)"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0A803-AAF0-4399-9AC4-C9096EE5BC78}"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7" firstHeaderRow="1" firstDataRow="1" firstDataCol="1"/>
  <pivotFields count="1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2"/>
        <item x="0"/>
        <item x="3"/>
        <item x="1"/>
        <item x="4"/>
        <item t="default"/>
      </items>
    </pivotField>
    <pivotField showAll="0"/>
    <pivotField showAll="0"/>
    <pivotField showAll="0"/>
    <pivotField dataField="1" showAll="0"/>
    <pivotField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Fare (₹)"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67774F-0731-4A7F-ABC1-18834A352296}"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8" firstHeaderRow="1" firstDataRow="1" firstDataCol="1"/>
  <pivotFields count="1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0"/>
        <item x="3"/>
        <item x="1"/>
        <item x="4"/>
        <item t="default"/>
      </items>
    </pivotField>
    <pivotField axis="axisRow" showAll="0">
      <items count="7">
        <item x="3"/>
        <item x="5"/>
        <item x="0"/>
        <item x="2"/>
        <item x="1"/>
        <item x="4"/>
        <item t="default"/>
      </items>
    </pivotField>
    <pivotField showAll="0"/>
    <pivotField showAll="0"/>
    <pivotField showAll="0"/>
    <pivotField dataField="1"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Rating"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F457DF-D955-4515-89FD-49B43B2A2B14}"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5" firstHeaderRow="1" firstDataRow="1" firstDataCol="1"/>
  <pivotFields count="1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0"/>
        <item x="3"/>
        <item x="1"/>
        <item x="4"/>
        <item t="default"/>
      </items>
    </pivotField>
    <pivotField showAll="0"/>
    <pivotField showAll="0"/>
    <pivotField showAll="0">
      <items count="75">
        <item x="56"/>
        <item x="2"/>
        <item x="71"/>
        <item x="10"/>
        <item x="27"/>
        <item x="19"/>
        <item x="36"/>
        <item x="42"/>
        <item x="33"/>
        <item x="24"/>
        <item x="35"/>
        <item x="12"/>
        <item x="61"/>
        <item x="37"/>
        <item x="43"/>
        <item x="53"/>
        <item x="54"/>
        <item x="23"/>
        <item x="73"/>
        <item x="3"/>
        <item x="65"/>
        <item x="58"/>
        <item x="11"/>
        <item x="16"/>
        <item x="46"/>
        <item x="1"/>
        <item x="64"/>
        <item x="7"/>
        <item x="14"/>
        <item x="55"/>
        <item x="57"/>
        <item x="68"/>
        <item x="20"/>
        <item x="29"/>
        <item x="6"/>
        <item x="34"/>
        <item x="8"/>
        <item x="40"/>
        <item x="69"/>
        <item x="52"/>
        <item x="62"/>
        <item x="9"/>
        <item x="4"/>
        <item x="66"/>
        <item x="51"/>
        <item x="31"/>
        <item x="5"/>
        <item x="21"/>
        <item x="44"/>
        <item x="25"/>
        <item x="60"/>
        <item x="32"/>
        <item x="59"/>
        <item x="70"/>
        <item x="50"/>
        <item x="18"/>
        <item x="13"/>
        <item x="26"/>
        <item x="17"/>
        <item x="30"/>
        <item x="45"/>
        <item x="48"/>
        <item x="22"/>
        <item x="67"/>
        <item x="41"/>
        <item x="47"/>
        <item x="63"/>
        <item x="49"/>
        <item x="28"/>
        <item x="72"/>
        <item x="39"/>
        <item x="0"/>
        <item x="15"/>
        <item x="38"/>
        <item t="default"/>
      </items>
    </pivotField>
    <pivotField dataField="1" showAll="0">
      <items count="101">
        <item x="28"/>
        <item x="92"/>
        <item x="35"/>
        <item x="45"/>
        <item x="61"/>
        <item x="82"/>
        <item x="98"/>
        <item x="33"/>
        <item x="70"/>
        <item x="12"/>
        <item x="31"/>
        <item x="3"/>
        <item x="67"/>
        <item x="27"/>
        <item x="87"/>
        <item x="74"/>
        <item x="88"/>
        <item x="85"/>
        <item x="58"/>
        <item x="20"/>
        <item x="57"/>
        <item x="40"/>
        <item x="84"/>
        <item x="91"/>
        <item x="75"/>
        <item x="66"/>
        <item x="5"/>
        <item x="30"/>
        <item x="54"/>
        <item x="13"/>
        <item x="73"/>
        <item x="44"/>
        <item x="65"/>
        <item x="16"/>
        <item x="25"/>
        <item x="6"/>
        <item x="50"/>
        <item x="17"/>
        <item x="23"/>
        <item x="46"/>
        <item x="4"/>
        <item x="89"/>
        <item x="18"/>
        <item x="48"/>
        <item x="39"/>
        <item x="86"/>
        <item x="95"/>
        <item x="15"/>
        <item x="8"/>
        <item x="9"/>
        <item x="32"/>
        <item x="62"/>
        <item x="55"/>
        <item x="24"/>
        <item x="68"/>
        <item x="63"/>
        <item x="80"/>
        <item x="37"/>
        <item x="72"/>
        <item x="52"/>
        <item x="96"/>
        <item x="7"/>
        <item x="78"/>
        <item x="47"/>
        <item x="0"/>
        <item x="22"/>
        <item x="83"/>
        <item x="1"/>
        <item x="36"/>
        <item x="26"/>
        <item x="29"/>
        <item x="77"/>
        <item x="97"/>
        <item x="79"/>
        <item x="14"/>
        <item x="38"/>
        <item x="69"/>
        <item x="56"/>
        <item x="21"/>
        <item x="60"/>
        <item x="81"/>
        <item x="64"/>
        <item x="93"/>
        <item x="94"/>
        <item x="49"/>
        <item x="42"/>
        <item x="53"/>
        <item x="10"/>
        <item x="19"/>
        <item x="43"/>
        <item x="34"/>
        <item x="71"/>
        <item x="11"/>
        <item x="76"/>
        <item x="99"/>
        <item x="51"/>
        <item x="59"/>
        <item x="90"/>
        <item x="2"/>
        <item x="41"/>
        <item t="default"/>
      </items>
    </pivotField>
    <pivotField showAll="0"/>
    <pivotField axis="axisRow"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Fare (₹)" fld="5"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120A-F7F7-454F-9EAC-85534A2B6734}"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6" firstHeaderRow="1" firstDataRow="1" firstDataCol="1"/>
  <pivotFields count="1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2"/>
        <item x="0"/>
        <item x="3"/>
        <item x="1"/>
        <item x="4"/>
        <item t="default"/>
      </items>
    </pivotField>
    <pivotField showAll="0">
      <items count="7">
        <item x="3"/>
        <item x="5"/>
        <item x="0"/>
        <item x="2"/>
        <item x="1"/>
        <item x="4"/>
        <item t="default"/>
      </items>
    </pivotField>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pivotField showAll="0"/>
    <pivotField showAll="0"/>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v="1"/>
    </i>
    <i>
      <x v="2"/>
    </i>
    <i>
      <x v="3"/>
    </i>
    <i>
      <x v="4"/>
    </i>
    <i t="grand">
      <x/>
    </i>
  </rowItems>
  <colItems count="1">
    <i/>
  </colItems>
  <dataFields count="1">
    <dataField name="Sum of Distance (km)" fld="4" baseField="0" baseItem="0"/>
  </dataField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50E5BE-4060-4485-A432-6ABF41C3FCE6}"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G5" firstHeaderRow="1" firstDataRow="2" firstDataCol="1"/>
  <pivotFields count="10">
    <pivotField numFmtId="22" showAll="0"/>
    <pivotField axis="axisCol" dataField="1" showAll="0">
      <items count="6">
        <item x="2"/>
        <item x="0"/>
        <item x="3"/>
        <item x="1"/>
        <item x="4"/>
        <item t="default"/>
      </items>
    </pivotField>
    <pivotField showAll="0">
      <items count="7">
        <item x="3"/>
        <item x="5"/>
        <item x="0"/>
        <item x="2"/>
        <item x="1"/>
        <item x="4"/>
        <item t="default"/>
      </items>
    </pivotField>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75">
        <item x="56"/>
        <item x="2"/>
        <item x="71"/>
        <item x="10"/>
        <item x="27"/>
        <item x="19"/>
        <item x="36"/>
        <item x="42"/>
        <item x="33"/>
        <item x="24"/>
        <item x="35"/>
        <item x="12"/>
        <item x="61"/>
        <item x="37"/>
        <item x="43"/>
        <item x="53"/>
        <item x="54"/>
        <item x="23"/>
        <item x="73"/>
        <item x="3"/>
        <item x="65"/>
        <item x="58"/>
        <item x="11"/>
        <item x="16"/>
        <item x="46"/>
        <item x="1"/>
        <item x="64"/>
        <item x="7"/>
        <item x="14"/>
        <item x="55"/>
        <item x="57"/>
        <item x="68"/>
        <item x="20"/>
        <item x="29"/>
        <item x="6"/>
        <item x="34"/>
        <item x="8"/>
        <item x="40"/>
        <item x="69"/>
        <item x="52"/>
        <item x="62"/>
        <item x="9"/>
        <item x="4"/>
        <item x="66"/>
        <item x="51"/>
        <item x="31"/>
        <item x="5"/>
        <item x="21"/>
        <item x="44"/>
        <item x="25"/>
        <item x="60"/>
        <item x="32"/>
        <item x="59"/>
        <item x="70"/>
        <item x="50"/>
        <item x="18"/>
        <item x="13"/>
        <item x="26"/>
        <item x="17"/>
        <item x="30"/>
        <item x="45"/>
        <item x="48"/>
        <item x="22"/>
        <item x="67"/>
        <item x="41"/>
        <item x="47"/>
        <item x="63"/>
        <item x="49"/>
        <item x="28"/>
        <item x="72"/>
        <item x="39"/>
        <item x="0"/>
        <item x="15"/>
        <item x="38"/>
        <item t="default"/>
      </items>
    </pivotField>
    <pivotField showAll="0"/>
    <pivotField showAll="0"/>
    <pivotField showAll="0">
      <items count="4">
        <item x="2"/>
        <item x="1"/>
        <item x="0"/>
        <item t="default"/>
      </items>
    </pivotField>
    <pivotField axis="axisRow" showAll="0">
      <items count="3">
        <item x="1"/>
        <item x="0"/>
        <item t="default"/>
      </items>
    </pivotField>
    <pivotField showAll="0" defaultSubtotal="0">
      <items count="14">
        <item x="0"/>
        <item x="1"/>
        <item x="2"/>
        <item x="3"/>
        <item x="4"/>
        <item x="5"/>
        <item x="6"/>
        <item x="7"/>
        <item x="8"/>
        <item x="9"/>
        <item x="10"/>
        <item x="11"/>
        <item x="12"/>
        <item x="13"/>
      </items>
    </pivotField>
  </pivotFields>
  <rowFields count="1">
    <field x="8"/>
  </rowFields>
  <rowItems count="3">
    <i>
      <x/>
    </i>
    <i>
      <x v="1"/>
    </i>
    <i t="grand">
      <x/>
    </i>
  </rowItems>
  <colFields count="1">
    <field x="1"/>
  </colFields>
  <colItems count="6">
    <i>
      <x/>
    </i>
    <i>
      <x v="1"/>
    </i>
    <i>
      <x v="2"/>
    </i>
    <i>
      <x v="3"/>
    </i>
    <i>
      <x v="4"/>
    </i>
    <i t="grand">
      <x/>
    </i>
  </colItems>
  <dataFields count="1">
    <dataField name="Count of City" fld="1" subtotal="count" baseField="0" baseItem="0"/>
  </dataFields>
  <chartFormats count="5">
    <chartFormat chart="2" format="210" series="1">
      <pivotArea type="data" outline="0" fieldPosition="0">
        <references count="2">
          <reference field="4294967294" count="1" selected="0">
            <x v="0"/>
          </reference>
          <reference field="1" count="1" selected="0">
            <x v="0"/>
          </reference>
        </references>
      </pivotArea>
    </chartFormat>
    <chartFormat chart="2" format="211" series="1">
      <pivotArea type="data" outline="0" fieldPosition="0">
        <references count="2">
          <reference field="4294967294" count="1" selected="0">
            <x v="0"/>
          </reference>
          <reference field="1" count="1" selected="0">
            <x v="1"/>
          </reference>
        </references>
      </pivotArea>
    </chartFormat>
    <chartFormat chart="2" format="212" series="1">
      <pivotArea type="data" outline="0" fieldPosition="0">
        <references count="2">
          <reference field="4294967294" count="1" selected="0">
            <x v="0"/>
          </reference>
          <reference field="1" count="1" selected="0">
            <x v="2"/>
          </reference>
        </references>
      </pivotArea>
    </chartFormat>
    <chartFormat chart="2" format="213" series="1">
      <pivotArea type="data" outline="0" fieldPosition="0">
        <references count="2">
          <reference field="4294967294" count="1" selected="0">
            <x v="0"/>
          </reference>
          <reference field="1" count="1" selected="0">
            <x v="3"/>
          </reference>
        </references>
      </pivotArea>
    </chartFormat>
    <chartFormat chart="2" format="2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1EB7B5-F8F5-44A9-B24F-61D43F12342C}" autoFormatId="16" applyNumberFormats="0" applyBorderFormats="0" applyFontFormats="0" applyPatternFormats="0" applyAlignmentFormats="0" applyWidthHeightFormats="0">
  <queryTableRefresh nextId="10">
    <queryTableFields count="9">
      <queryTableField id="1" name="Date" tableColumnId="1"/>
      <queryTableField id="2" name="City" tableColumnId="2"/>
      <queryTableField id="3" name="Driver Name" tableColumnId="3"/>
      <queryTableField id="4" name="Trip ID" tableColumnId="4"/>
      <queryTableField id="5" name="Distance (km)" tableColumnId="5"/>
      <queryTableField id="6" name="Fare (₹)" tableColumnId="6"/>
      <queryTableField id="7" name="Rating" tableColumnId="7"/>
      <queryTableField id="8" name="Payment Type" tableColumnId="8"/>
      <queryTableField id="9" name="Trip 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C9D4BAA-768F-407D-9A4B-333EF17FB799}" sourceName="City">
  <pivotTables>
    <pivotTable tabId="3" name="PivotTable1"/>
    <pivotTable tabId="4" name="PivotTable2"/>
    <pivotTable tabId="5" name="PivotTable3"/>
    <pivotTable tabId="6" name="PivotTable4"/>
    <pivotTable tabId="7" name="PivotTable5"/>
  </pivotTables>
  <data>
    <tabular pivotCacheId="1590317046">
      <items count="5">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p_Status" xr10:uid="{9AA1DE2F-AD09-4CB7-BA32-9F78835B3087}" sourceName="Trip Status">
  <pivotTables>
    <pivotTable tabId="6" name="PivotTable4"/>
    <pivotTable tabId="3" name="PivotTable1"/>
    <pivotTable tabId="4" name="PivotTable2"/>
    <pivotTable tabId="5" name="PivotTable3"/>
    <pivotTable tabId="7" name="PivotTable5"/>
  </pivotTables>
  <data>
    <tabular pivotCacheId="15903170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9D4722F-0DE1-431F-9B90-748F06B05A4A}" cache="Slicer_City" caption="City" columnCount="2" style="Slicer Style 2" rowHeight="182880"/>
  <slicer name="Trip Status" xr10:uid="{6315DD2C-F09B-44EC-8DCE-F0D9F1ED6162}" cache="Slicer_Trip_Status" caption="Trip Status"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78EFDE-E93C-4E56-BA3E-21152CBE3727}" name="Sheet1" displayName="Sheet1" ref="A1:I101" tableType="queryTable" totalsRowShown="0">
  <autoFilter ref="A1:I101" xr:uid="{BFB44AB6-C1E9-47A3-9114-57326EB46A50}"/>
  <tableColumns count="9">
    <tableColumn id="1" xr3:uid="{95C59263-9B66-46FD-A771-8558314651D5}" uniqueName="1" name="Date" queryTableFieldId="1" dataDxfId="7"/>
    <tableColumn id="2" xr3:uid="{EC0186E6-E932-4276-B547-DCB734EE0840}" uniqueName="2" name="City" queryTableFieldId="2" dataDxfId="6"/>
    <tableColumn id="3" xr3:uid="{7C38B38C-8922-4AF5-8B3B-A59C477E2739}" uniqueName="3" name="Driver Name" queryTableFieldId="3" dataDxfId="5"/>
    <tableColumn id="4" xr3:uid="{B50D32E5-45E4-47C1-B67D-C1C140AE150D}" uniqueName="4" name="Trip ID" queryTableFieldId="4" dataDxfId="4"/>
    <tableColumn id="5" xr3:uid="{2156290D-6912-4417-BBA0-A64FA4553A6D}" uniqueName="5" name="Distance (km)" queryTableFieldId="5"/>
    <tableColumn id="6" xr3:uid="{900125D7-A70C-4030-BEB4-716E7922E88A}" uniqueName="6" name="Fare (₹)" queryTableFieldId="6"/>
    <tableColumn id="7" xr3:uid="{22D4FB3D-7B57-4F77-BD13-1E5FD3A5229F}" uniqueName="7" name="Rating" queryTableFieldId="7"/>
    <tableColumn id="8" xr3:uid="{5F9F6769-89E2-420D-8FA2-D1294A204A84}" uniqueName="8" name="Payment Type" queryTableFieldId="8" dataDxfId="3"/>
    <tableColumn id="9" xr3:uid="{24394FAA-34A0-4858-8C09-86EA51DA048A}" uniqueName="9" name="Trip Status" queryTableFieldId="9"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42E5-DAC8-4732-9DB5-6FC8EDD84376}">
  <dimension ref="P1:Q5"/>
  <sheetViews>
    <sheetView tabSelected="1" workbookViewId="0">
      <selection activeCell="S10" sqref="S10"/>
    </sheetView>
  </sheetViews>
  <sheetFormatPr defaultRowHeight="14.4" x14ac:dyDescent="0.3"/>
  <cols>
    <col min="1" max="14" width="8.88671875" style="4"/>
    <col min="15" max="15" width="6.5546875" style="4" customWidth="1"/>
    <col min="16" max="16" width="4.77734375" style="4" customWidth="1"/>
    <col min="17" max="17" width="10.109375" style="4" customWidth="1"/>
    <col min="18" max="16384" width="8.88671875" style="4"/>
  </cols>
  <sheetData>
    <row r="1" spans="16:17" x14ac:dyDescent="0.3">
      <c r="Q1" s="6"/>
    </row>
    <row r="2" spans="16:17" ht="30.6" customHeight="1" x14ac:dyDescent="0.3">
      <c r="P2" s="7"/>
      <c r="Q2" s="9" t="s">
        <v>136</v>
      </c>
    </row>
    <row r="3" spans="16:17" ht="24.6" customHeight="1" x14ac:dyDescent="0.3">
      <c r="P3" s="7"/>
      <c r="Q3" s="8">
        <f>SUM(Sheet1[Fare (₹)])</f>
        <v>40301.550000000003</v>
      </c>
    </row>
    <row r="4" spans="16:17" ht="19.8" customHeight="1" x14ac:dyDescent="0.3"/>
    <row r="5" spans="16:17" ht="21.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B8A8-8D5C-4BC4-A5F5-078D7D98B5CF}">
  <dimension ref="A1:B8"/>
  <sheetViews>
    <sheetView workbookViewId="0"/>
  </sheetViews>
  <sheetFormatPr defaultRowHeight="14.4" x14ac:dyDescent="0.3"/>
  <cols>
    <col min="1" max="1" width="12.5546875" bestFit="1" customWidth="1"/>
    <col min="2" max="2" width="19.21875" bestFit="1" customWidth="1"/>
  </cols>
  <sheetData>
    <row r="1" spans="1:2" x14ac:dyDescent="0.3">
      <c r="A1" s="2" t="s">
        <v>125</v>
      </c>
      <c r="B1" t="s">
        <v>129</v>
      </c>
    </row>
    <row r="2" spans="1:2" x14ac:dyDescent="0.3">
      <c r="A2" s="3" t="s">
        <v>26</v>
      </c>
      <c r="B2" s="5">
        <v>272.5</v>
      </c>
    </row>
    <row r="3" spans="1:2" x14ac:dyDescent="0.3">
      <c r="A3" s="3" t="s">
        <v>30</v>
      </c>
      <c r="B3" s="5">
        <v>214.00000000000003</v>
      </c>
    </row>
    <row r="4" spans="1:2" x14ac:dyDescent="0.3">
      <c r="A4" s="3" t="s">
        <v>10</v>
      </c>
      <c r="B4" s="5">
        <v>249.6</v>
      </c>
    </row>
    <row r="5" spans="1:2" x14ac:dyDescent="0.3">
      <c r="A5" s="3" t="s">
        <v>22</v>
      </c>
      <c r="B5" s="5">
        <v>105.50000000000001</v>
      </c>
    </row>
    <row r="6" spans="1:2" x14ac:dyDescent="0.3">
      <c r="A6" s="3" t="s">
        <v>15</v>
      </c>
      <c r="B6" s="5">
        <v>251.89999999999998</v>
      </c>
    </row>
    <row r="7" spans="1:2" x14ac:dyDescent="0.3">
      <c r="A7" s="3" t="s">
        <v>28</v>
      </c>
      <c r="B7" s="5">
        <v>166.3</v>
      </c>
    </row>
    <row r="8" spans="1:2" x14ac:dyDescent="0.3">
      <c r="A8" s="3" t="s">
        <v>126</v>
      </c>
      <c r="B8" s="5">
        <v>1259.8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6B83C-542E-4E5A-BD13-3780BC30541D}">
  <dimension ref="A1:I101"/>
  <sheetViews>
    <sheetView topLeftCell="A2" workbookViewId="0">
      <selection activeCell="E9" sqref="E9"/>
    </sheetView>
  </sheetViews>
  <sheetFormatPr defaultRowHeight="14.4" x14ac:dyDescent="0.3"/>
  <cols>
    <col min="1" max="1" width="13.6640625" bestFit="1" customWidth="1"/>
    <col min="2" max="2" width="9.77734375" bestFit="1" customWidth="1"/>
    <col min="3" max="3" width="13.6640625" bestFit="1" customWidth="1"/>
    <col min="4" max="4" width="8.6640625" bestFit="1" customWidth="1"/>
    <col min="5" max="5" width="14.77734375" bestFit="1" customWidth="1"/>
    <col min="6" max="6" width="9.5546875" bestFit="1" customWidth="1"/>
    <col min="7" max="7" width="8.5546875" bestFit="1" customWidth="1"/>
    <col min="8" max="8" width="15.44140625" bestFit="1" customWidth="1"/>
    <col min="9" max="9" width="12.109375" bestFit="1" customWidth="1"/>
  </cols>
  <sheetData>
    <row r="1" spans="1:9" x14ac:dyDescent="0.3">
      <c r="A1" t="s">
        <v>0</v>
      </c>
      <c r="B1" t="s">
        <v>1</v>
      </c>
      <c r="C1" t="s">
        <v>2</v>
      </c>
      <c r="D1" t="s">
        <v>3</v>
      </c>
      <c r="E1" t="s">
        <v>4</v>
      </c>
      <c r="F1" t="s">
        <v>5</v>
      </c>
      <c r="G1" t="s">
        <v>6</v>
      </c>
      <c r="H1" t="s">
        <v>7</v>
      </c>
      <c r="I1" t="s">
        <v>8</v>
      </c>
    </row>
    <row r="2" spans="1:9" x14ac:dyDescent="0.3">
      <c r="A2" s="1">
        <v>45658</v>
      </c>
      <c r="B2" t="s">
        <v>9</v>
      </c>
      <c r="C2" t="s">
        <v>10</v>
      </c>
      <c r="D2" t="s">
        <v>11</v>
      </c>
      <c r="E2">
        <v>19.600000000000001</v>
      </c>
      <c r="F2">
        <v>486.94</v>
      </c>
      <c r="G2">
        <v>4.8</v>
      </c>
      <c r="H2" t="s">
        <v>12</v>
      </c>
      <c r="I2" t="s">
        <v>13</v>
      </c>
    </row>
    <row r="3" spans="1:9" x14ac:dyDescent="0.3">
      <c r="A3" s="1">
        <v>45659</v>
      </c>
      <c r="B3" t="s">
        <v>14</v>
      </c>
      <c r="C3" t="s">
        <v>15</v>
      </c>
      <c r="D3" t="s">
        <v>16</v>
      </c>
      <c r="E3">
        <v>10</v>
      </c>
      <c r="F3">
        <v>500.6</v>
      </c>
      <c r="G3">
        <v>3.9</v>
      </c>
      <c r="H3" t="s">
        <v>17</v>
      </c>
      <c r="I3" t="s">
        <v>13</v>
      </c>
    </row>
    <row r="4" spans="1:9" x14ac:dyDescent="0.3">
      <c r="A4" s="1">
        <v>45660</v>
      </c>
      <c r="B4" t="s">
        <v>18</v>
      </c>
      <c r="C4" t="s">
        <v>10</v>
      </c>
      <c r="D4" t="s">
        <v>19</v>
      </c>
      <c r="E4">
        <v>3.6</v>
      </c>
      <c r="F4">
        <v>786.23</v>
      </c>
      <c r="G4">
        <v>3.5</v>
      </c>
      <c r="H4" t="s">
        <v>20</v>
      </c>
      <c r="I4" t="s">
        <v>21</v>
      </c>
    </row>
    <row r="5" spans="1:9" x14ac:dyDescent="0.3">
      <c r="A5" s="1">
        <v>45661</v>
      </c>
      <c r="B5" t="s">
        <v>14</v>
      </c>
      <c r="C5" t="s">
        <v>22</v>
      </c>
      <c r="D5" t="s">
        <v>23</v>
      </c>
      <c r="E5">
        <v>8.9</v>
      </c>
      <c r="F5">
        <v>152.74</v>
      </c>
      <c r="G5">
        <v>4.9000000000000004</v>
      </c>
      <c r="H5" t="s">
        <v>20</v>
      </c>
      <c r="I5" t="s">
        <v>13</v>
      </c>
    </row>
    <row r="6" spans="1:9" x14ac:dyDescent="0.3">
      <c r="A6" s="1">
        <v>45662</v>
      </c>
      <c r="B6" t="s">
        <v>14</v>
      </c>
      <c r="C6" t="s">
        <v>15</v>
      </c>
      <c r="D6" t="s">
        <v>24</v>
      </c>
      <c r="E6">
        <v>13.8</v>
      </c>
      <c r="F6">
        <v>313.99</v>
      </c>
      <c r="G6">
        <v>4.3</v>
      </c>
      <c r="H6" t="s">
        <v>12</v>
      </c>
      <c r="I6" t="s">
        <v>13</v>
      </c>
    </row>
    <row r="7" spans="1:9" x14ac:dyDescent="0.3">
      <c r="A7" s="1">
        <v>45663</v>
      </c>
      <c r="B7" t="s">
        <v>25</v>
      </c>
      <c r="C7" t="s">
        <v>26</v>
      </c>
      <c r="D7" t="s">
        <v>27</v>
      </c>
      <c r="E7">
        <v>14.6</v>
      </c>
      <c r="F7">
        <v>233.64</v>
      </c>
      <c r="G7">
        <v>4.3</v>
      </c>
      <c r="H7" t="s">
        <v>17</v>
      </c>
      <c r="I7" t="s">
        <v>13</v>
      </c>
    </row>
    <row r="8" spans="1:9" x14ac:dyDescent="0.3">
      <c r="A8" s="1">
        <v>45664</v>
      </c>
      <c r="B8" t="s">
        <v>18</v>
      </c>
      <c r="C8" t="s">
        <v>28</v>
      </c>
      <c r="D8" t="s">
        <v>29</v>
      </c>
      <c r="E8">
        <v>12</v>
      </c>
      <c r="F8">
        <v>287.93</v>
      </c>
      <c r="G8">
        <v>4.5</v>
      </c>
      <c r="H8" t="s">
        <v>20</v>
      </c>
      <c r="I8" t="s">
        <v>13</v>
      </c>
    </row>
    <row r="9" spans="1:9" x14ac:dyDescent="0.3">
      <c r="A9" s="1">
        <v>45665</v>
      </c>
      <c r="B9" t="s">
        <v>18</v>
      </c>
      <c r="C9" t="s">
        <v>30</v>
      </c>
      <c r="D9" t="s">
        <v>31</v>
      </c>
      <c r="E9">
        <v>10.6</v>
      </c>
      <c r="F9">
        <v>439.7</v>
      </c>
      <c r="G9">
        <v>4.4000000000000004</v>
      </c>
      <c r="H9" t="s">
        <v>20</v>
      </c>
      <c r="I9" t="s">
        <v>13</v>
      </c>
    </row>
    <row r="10" spans="1:9" x14ac:dyDescent="0.3">
      <c r="A10" s="1">
        <v>45666</v>
      </c>
      <c r="B10" t="s">
        <v>18</v>
      </c>
      <c r="C10" t="s">
        <v>10</v>
      </c>
      <c r="D10" t="s">
        <v>32</v>
      </c>
      <c r="E10">
        <v>12.4</v>
      </c>
      <c r="F10">
        <v>360.88</v>
      </c>
      <c r="G10">
        <v>4.9000000000000004</v>
      </c>
      <c r="H10" t="s">
        <v>17</v>
      </c>
      <c r="I10" t="s">
        <v>13</v>
      </c>
    </row>
    <row r="11" spans="1:9" x14ac:dyDescent="0.3">
      <c r="A11" s="1">
        <v>45667</v>
      </c>
      <c r="B11" t="s">
        <v>14</v>
      </c>
      <c r="C11" t="s">
        <v>26</v>
      </c>
      <c r="D11" t="s">
        <v>33</v>
      </c>
      <c r="E11">
        <v>13.1</v>
      </c>
      <c r="F11">
        <v>376.28</v>
      </c>
      <c r="G11">
        <v>4.9000000000000004</v>
      </c>
      <c r="H11" t="s">
        <v>17</v>
      </c>
      <c r="I11" t="s">
        <v>13</v>
      </c>
    </row>
    <row r="12" spans="1:9" x14ac:dyDescent="0.3">
      <c r="A12" s="1">
        <v>45668</v>
      </c>
      <c r="B12" t="s">
        <v>9</v>
      </c>
      <c r="C12" t="s">
        <v>30</v>
      </c>
      <c r="D12" t="s">
        <v>34</v>
      </c>
      <c r="E12">
        <v>4.4000000000000004</v>
      </c>
      <c r="F12">
        <v>690.95</v>
      </c>
      <c r="G12">
        <v>4.8</v>
      </c>
      <c r="H12" t="s">
        <v>20</v>
      </c>
      <c r="I12" t="s">
        <v>13</v>
      </c>
    </row>
    <row r="13" spans="1:9" x14ac:dyDescent="0.3">
      <c r="A13" s="1">
        <v>45669</v>
      </c>
      <c r="B13" t="s">
        <v>18</v>
      </c>
      <c r="C13" t="s">
        <v>30</v>
      </c>
      <c r="D13" t="s">
        <v>35</v>
      </c>
      <c r="E13">
        <v>9.3000000000000007</v>
      </c>
      <c r="F13">
        <v>751.01</v>
      </c>
      <c r="G13">
        <v>4.5</v>
      </c>
      <c r="H13" t="s">
        <v>20</v>
      </c>
      <c r="I13" t="s">
        <v>13</v>
      </c>
    </row>
    <row r="14" spans="1:9" x14ac:dyDescent="0.3">
      <c r="A14" s="1">
        <v>45670</v>
      </c>
      <c r="B14" t="s">
        <v>14</v>
      </c>
      <c r="C14" t="s">
        <v>15</v>
      </c>
      <c r="D14" t="s">
        <v>36</v>
      </c>
      <c r="E14">
        <v>7.1</v>
      </c>
      <c r="F14">
        <v>149.29</v>
      </c>
      <c r="G14">
        <v>4.7</v>
      </c>
      <c r="H14" t="s">
        <v>17</v>
      </c>
      <c r="I14" t="s">
        <v>13</v>
      </c>
    </row>
    <row r="15" spans="1:9" x14ac:dyDescent="0.3">
      <c r="A15" s="1">
        <v>45671</v>
      </c>
      <c r="B15" t="s">
        <v>25</v>
      </c>
      <c r="C15" t="s">
        <v>30</v>
      </c>
      <c r="D15" t="s">
        <v>37</v>
      </c>
      <c r="E15">
        <v>16.7</v>
      </c>
      <c r="F15">
        <v>246.24</v>
      </c>
      <c r="G15">
        <v>4.5</v>
      </c>
      <c r="H15" t="s">
        <v>20</v>
      </c>
      <c r="I15" t="s">
        <v>13</v>
      </c>
    </row>
    <row r="16" spans="1:9" x14ac:dyDescent="0.3">
      <c r="A16" s="1">
        <v>45672</v>
      </c>
      <c r="B16" t="s">
        <v>9</v>
      </c>
      <c r="C16" t="s">
        <v>28</v>
      </c>
      <c r="D16" t="s">
        <v>38</v>
      </c>
      <c r="E16">
        <v>11</v>
      </c>
      <c r="F16">
        <v>569.79999999999995</v>
      </c>
      <c r="G16">
        <v>4.4000000000000004</v>
      </c>
      <c r="H16" t="s">
        <v>12</v>
      </c>
      <c r="I16" t="s">
        <v>13</v>
      </c>
    </row>
    <row r="17" spans="1:9" x14ac:dyDescent="0.3">
      <c r="A17" s="1">
        <v>45673</v>
      </c>
      <c r="B17" t="s">
        <v>25</v>
      </c>
      <c r="C17" t="s">
        <v>26</v>
      </c>
      <c r="D17" t="s">
        <v>39</v>
      </c>
      <c r="E17">
        <v>19.7</v>
      </c>
      <c r="F17">
        <v>351.05</v>
      </c>
      <c r="G17">
        <v>3.7</v>
      </c>
      <c r="H17" t="s">
        <v>12</v>
      </c>
      <c r="I17" t="s">
        <v>13</v>
      </c>
    </row>
    <row r="18" spans="1:9" x14ac:dyDescent="0.3">
      <c r="A18" s="1">
        <v>45674</v>
      </c>
      <c r="B18" t="s">
        <v>9</v>
      </c>
      <c r="C18" t="s">
        <v>30</v>
      </c>
      <c r="D18" t="s">
        <v>40</v>
      </c>
      <c r="E18">
        <v>9.8000000000000007</v>
      </c>
      <c r="F18">
        <v>277.91000000000003</v>
      </c>
      <c r="G18">
        <v>4.7</v>
      </c>
      <c r="H18" t="s">
        <v>17</v>
      </c>
      <c r="I18" t="s">
        <v>21</v>
      </c>
    </row>
    <row r="19" spans="1:9" x14ac:dyDescent="0.3">
      <c r="A19" s="1">
        <v>45675</v>
      </c>
      <c r="B19" t="s">
        <v>14</v>
      </c>
      <c r="C19" t="s">
        <v>15</v>
      </c>
      <c r="D19" t="s">
        <v>41</v>
      </c>
      <c r="E19">
        <v>16.899999999999999</v>
      </c>
      <c r="F19">
        <v>306.7</v>
      </c>
      <c r="G19">
        <v>4.7</v>
      </c>
      <c r="H19" t="s">
        <v>17</v>
      </c>
      <c r="I19" t="s">
        <v>13</v>
      </c>
    </row>
    <row r="20" spans="1:9" x14ac:dyDescent="0.3">
      <c r="A20" s="1">
        <v>45676</v>
      </c>
      <c r="B20" t="s">
        <v>42</v>
      </c>
      <c r="C20" t="s">
        <v>28</v>
      </c>
      <c r="D20" t="s">
        <v>43</v>
      </c>
      <c r="E20">
        <v>16.600000000000001</v>
      </c>
      <c r="F20">
        <v>325.79000000000002</v>
      </c>
      <c r="G20">
        <v>4.4000000000000004</v>
      </c>
      <c r="H20" t="s">
        <v>17</v>
      </c>
      <c r="I20" t="s">
        <v>13</v>
      </c>
    </row>
    <row r="21" spans="1:9" x14ac:dyDescent="0.3">
      <c r="A21" s="1">
        <v>45677</v>
      </c>
      <c r="B21" t="s">
        <v>9</v>
      </c>
      <c r="C21" t="s">
        <v>22</v>
      </c>
      <c r="D21" t="s">
        <v>44</v>
      </c>
      <c r="E21">
        <v>5.6</v>
      </c>
      <c r="F21">
        <v>694.07</v>
      </c>
      <c r="G21">
        <v>4.7</v>
      </c>
      <c r="H21" t="s">
        <v>12</v>
      </c>
      <c r="I21" t="s">
        <v>13</v>
      </c>
    </row>
    <row r="22" spans="1:9" x14ac:dyDescent="0.3">
      <c r="A22" s="1">
        <v>45678</v>
      </c>
      <c r="B22" t="s">
        <v>25</v>
      </c>
      <c r="C22" t="s">
        <v>26</v>
      </c>
      <c r="D22" t="s">
        <v>45</v>
      </c>
      <c r="E22">
        <v>11.6</v>
      </c>
      <c r="F22">
        <v>195.63</v>
      </c>
      <c r="G22">
        <v>4.5</v>
      </c>
      <c r="H22" t="s">
        <v>20</v>
      </c>
      <c r="I22" t="s">
        <v>13</v>
      </c>
    </row>
    <row r="23" spans="1:9" x14ac:dyDescent="0.3">
      <c r="A23" s="1">
        <v>45679</v>
      </c>
      <c r="B23" t="s">
        <v>14</v>
      </c>
      <c r="C23" t="s">
        <v>30</v>
      </c>
      <c r="D23" t="s">
        <v>46</v>
      </c>
      <c r="E23">
        <v>14.8</v>
      </c>
      <c r="F23">
        <v>596.24</v>
      </c>
      <c r="G23">
        <v>3.8</v>
      </c>
      <c r="H23" t="s">
        <v>12</v>
      </c>
      <c r="I23" t="s">
        <v>13</v>
      </c>
    </row>
    <row r="24" spans="1:9" x14ac:dyDescent="0.3">
      <c r="A24" s="1">
        <v>45680</v>
      </c>
      <c r="B24" t="s">
        <v>9</v>
      </c>
      <c r="C24" t="s">
        <v>15</v>
      </c>
      <c r="D24" t="s">
        <v>47</v>
      </c>
      <c r="E24">
        <v>17.600000000000001</v>
      </c>
      <c r="F24">
        <v>486.97</v>
      </c>
      <c r="G24">
        <v>3.9</v>
      </c>
      <c r="H24" t="s">
        <v>20</v>
      </c>
      <c r="I24" t="s">
        <v>13</v>
      </c>
    </row>
    <row r="25" spans="1:9" x14ac:dyDescent="0.3">
      <c r="A25" s="1">
        <v>45681</v>
      </c>
      <c r="B25" t="s">
        <v>42</v>
      </c>
      <c r="C25" t="s">
        <v>22</v>
      </c>
      <c r="D25" t="s">
        <v>48</v>
      </c>
      <c r="E25">
        <v>8.5</v>
      </c>
      <c r="F25">
        <v>307.56</v>
      </c>
      <c r="G25">
        <v>3.8</v>
      </c>
      <c r="H25" t="s">
        <v>12</v>
      </c>
      <c r="I25" t="s">
        <v>13</v>
      </c>
    </row>
    <row r="26" spans="1:9" x14ac:dyDescent="0.3">
      <c r="A26" s="1">
        <v>45682</v>
      </c>
      <c r="B26" t="s">
        <v>42</v>
      </c>
      <c r="C26" t="s">
        <v>22</v>
      </c>
      <c r="D26" t="s">
        <v>49</v>
      </c>
      <c r="E26">
        <v>6.7</v>
      </c>
      <c r="F26">
        <v>393.85</v>
      </c>
      <c r="G26">
        <v>4.0999999999999996</v>
      </c>
      <c r="H26" t="s">
        <v>20</v>
      </c>
      <c r="I26" t="s">
        <v>13</v>
      </c>
    </row>
    <row r="27" spans="1:9" x14ac:dyDescent="0.3">
      <c r="A27" s="1">
        <v>45683</v>
      </c>
      <c r="B27" t="s">
        <v>18</v>
      </c>
      <c r="C27" t="s">
        <v>10</v>
      </c>
      <c r="D27" t="s">
        <v>50</v>
      </c>
      <c r="E27">
        <v>15.1</v>
      </c>
      <c r="F27">
        <v>279.33999999999997</v>
      </c>
      <c r="G27">
        <v>3.6</v>
      </c>
      <c r="H27" t="s">
        <v>12</v>
      </c>
      <c r="I27" t="s">
        <v>13</v>
      </c>
    </row>
    <row r="28" spans="1:9" x14ac:dyDescent="0.3">
      <c r="A28" s="1">
        <v>45684</v>
      </c>
      <c r="B28" t="s">
        <v>18</v>
      </c>
      <c r="C28" t="s">
        <v>28</v>
      </c>
      <c r="D28" t="s">
        <v>51</v>
      </c>
      <c r="E28">
        <v>16.8</v>
      </c>
      <c r="F28">
        <v>528.05999999999995</v>
      </c>
      <c r="G28">
        <v>4.4000000000000004</v>
      </c>
      <c r="H28" t="s">
        <v>17</v>
      </c>
      <c r="I28" t="s">
        <v>21</v>
      </c>
    </row>
    <row r="29" spans="1:9" x14ac:dyDescent="0.3">
      <c r="A29" s="1">
        <v>45685</v>
      </c>
      <c r="B29" t="s">
        <v>25</v>
      </c>
      <c r="C29" t="s">
        <v>30</v>
      </c>
      <c r="D29" t="s">
        <v>52</v>
      </c>
      <c r="E29">
        <v>8.9</v>
      </c>
      <c r="F29">
        <v>157.12</v>
      </c>
      <c r="G29">
        <v>4</v>
      </c>
      <c r="H29" t="s">
        <v>12</v>
      </c>
      <c r="I29" t="s">
        <v>13</v>
      </c>
    </row>
    <row r="30" spans="1:9" x14ac:dyDescent="0.3">
      <c r="A30" s="1">
        <v>45686</v>
      </c>
      <c r="B30" t="s">
        <v>9</v>
      </c>
      <c r="C30" t="s">
        <v>15</v>
      </c>
      <c r="D30" t="s">
        <v>53</v>
      </c>
      <c r="E30">
        <v>4.5999999999999996</v>
      </c>
      <c r="F30">
        <v>103.63</v>
      </c>
      <c r="G30">
        <v>4.5</v>
      </c>
      <c r="H30" t="s">
        <v>20</v>
      </c>
      <c r="I30" t="s">
        <v>13</v>
      </c>
    </row>
    <row r="31" spans="1:9" x14ac:dyDescent="0.3">
      <c r="A31" s="1">
        <v>45687</v>
      </c>
      <c r="B31" t="s">
        <v>9</v>
      </c>
      <c r="C31" t="s">
        <v>10</v>
      </c>
      <c r="D31" t="s">
        <v>54</v>
      </c>
      <c r="E31">
        <v>19</v>
      </c>
      <c r="F31">
        <v>539.53</v>
      </c>
      <c r="G31">
        <v>4.0999999999999996</v>
      </c>
      <c r="H31" t="s">
        <v>12</v>
      </c>
      <c r="I31" t="s">
        <v>13</v>
      </c>
    </row>
    <row r="32" spans="1:9" x14ac:dyDescent="0.3">
      <c r="A32" s="1">
        <v>45688</v>
      </c>
      <c r="B32" t="s">
        <v>18</v>
      </c>
      <c r="C32" t="s">
        <v>28</v>
      </c>
      <c r="D32" t="s">
        <v>55</v>
      </c>
      <c r="E32">
        <v>9.8000000000000007</v>
      </c>
      <c r="F32">
        <v>235.99</v>
      </c>
      <c r="G32">
        <v>4.5</v>
      </c>
      <c r="H32" t="s">
        <v>12</v>
      </c>
      <c r="I32" t="s">
        <v>13</v>
      </c>
    </row>
    <row r="33" spans="1:9" x14ac:dyDescent="0.3">
      <c r="A33" s="1">
        <v>45689</v>
      </c>
      <c r="B33" t="s">
        <v>9</v>
      </c>
      <c r="C33" t="s">
        <v>10</v>
      </c>
      <c r="D33" t="s">
        <v>56</v>
      </c>
      <c r="E33">
        <v>11.8</v>
      </c>
      <c r="F33">
        <v>149.66</v>
      </c>
      <c r="G33">
        <v>4</v>
      </c>
      <c r="H33" t="s">
        <v>12</v>
      </c>
      <c r="I33" t="s">
        <v>13</v>
      </c>
    </row>
    <row r="34" spans="1:9" x14ac:dyDescent="0.3">
      <c r="A34" s="1">
        <v>45690</v>
      </c>
      <c r="B34" t="s">
        <v>9</v>
      </c>
      <c r="C34" t="s">
        <v>26</v>
      </c>
      <c r="D34" t="s">
        <v>57</v>
      </c>
      <c r="E34">
        <v>17.2</v>
      </c>
      <c r="F34">
        <v>377.75</v>
      </c>
      <c r="G34">
        <v>3.9</v>
      </c>
      <c r="H34" t="s">
        <v>17</v>
      </c>
      <c r="I34" t="s">
        <v>13</v>
      </c>
    </row>
    <row r="35" spans="1:9" x14ac:dyDescent="0.3">
      <c r="A35" s="1">
        <v>45691</v>
      </c>
      <c r="B35" t="s">
        <v>42</v>
      </c>
      <c r="C35" t="s">
        <v>28</v>
      </c>
      <c r="D35" t="s">
        <v>58</v>
      </c>
      <c r="E35">
        <v>14.5</v>
      </c>
      <c r="F35">
        <v>135.54</v>
      </c>
      <c r="G35">
        <v>4.2</v>
      </c>
      <c r="H35" t="s">
        <v>12</v>
      </c>
      <c r="I35" t="s">
        <v>13</v>
      </c>
    </row>
    <row r="36" spans="1:9" x14ac:dyDescent="0.3">
      <c r="A36" s="1">
        <v>45692</v>
      </c>
      <c r="B36" t="s">
        <v>18</v>
      </c>
      <c r="C36" t="s">
        <v>28</v>
      </c>
      <c r="D36" t="s">
        <v>59</v>
      </c>
      <c r="E36">
        <v>15.5</v>
      </c>
      <c r="F36">
        <v>720.63</v>
      </c>
      <c r="G36">
        <v>4.5</v>
      </c>
      <c r="H36" t="s">
        <v>17</v>
      </c>
      <c r="I36" t="s">
        <v>13</v>
      </c>
    </row>
    <row r="37" spans="1:9" x14ac:dyDescent="0.3">
      <c r="A37" s="1">
        <v>45693</v>
      </c>
      <c r="B37" t="s">
        <v>14</v>
      </c>
      <c r="C37" t="s">
        <v>30</v>
      </c>
      <c r="D37" t="s">
        <v>60</v>
      </c>
      <c r="E37">
        <v>6.6</v>
      </c>
      <c r="F37">
        <v>119.33</v>
      </c>
      <c r="G37">
        <v>4</v>
      </c>
      <c r="H37" t="s">
        <v>17</v>
      </c>
      <c r="I37" t="s">
        <v>13</v>
      </c>
    </row>
    <row r="38" spans="1:9" x14ac:dyDescent="0.3">
      <c r="A38" s="1">
        <v>45694</v>
      </c>
      <c r="B38" t="s">
        <v>18</v>
      </c>
      <c r="C38" t="s">
        <v>28</v>
      </c>
      <c r="D38" t="s">
        <v>61</v>
      </c>
      <c r="E38">
        <v>12.2</v>
      </c>
      <c r="F38">
        <v>505.21</v>
      </c>
      <c r="G38">
        <v>4.9000000000000004</v>
      </c>
      <c r="H38" t="s">
        <v>12</v>
      </c>
      <c r="I38" t="s">
        <v>21</v>
      </c>
    </row>
    <row r="39" spans="1:9" x14ac:dyDescent="0.3">
      <c r="A39" s="1">
        <v>45695</v>
      </c>
      <c r="B39" t="s">
        <v>14</v>
      </c>
      <c r="C39" t="s">
        <v>10</v>
      </c>
      <c r="D39" t="s">
        <v>62</v>
      </c>
      <c r="E39">
        <v>14.8</v>
      </c>
      <c r="F39">
        <v>406.93</v>
      </c>
      <c r="G39">
        <v>3.6</v>
      </c>
      <c r="H39" t="s">
        <v>12</v>
      </c>
      <c r="I39" t="s">
        <v>13</v>
      </c>
    </row>
    <row r="40" spans="1:9" x14ac:dyDescent="0.3">
      <c r="A40" s="1">
        <v>45696</v>
      </c>
      <c r="B40" t="s">
        <v>42</v>
      </c>
      <c r="C40" t="s">
        <v>28</v>
      </c>
      <c r="D40" t="s">
        <v>63</v>
      </c>
      <c r="E40">
        <v>6.9</v>
      </c>
      <c r="F40">
        <v>570.41999999999996</v>
      </c>
      <c r="G40">
        <v>4.0999999999999996</v>
      </c>
      <c r="H40" t="s">
        <v>12</v>
      </c>
      <c r="I40" t="s">
        <v>13</v>
      </c>
    </row>
    <row r="41" spans="1:9" x14ac:dyDescent="0.3">
      <c r="A41" s="1">
        <v>45697</v>
      </c>
      <c r="B41" t="s">
        <v>25</v>
      </c>
      <c r="C41" t="s">
        <v>30</v>
      </c>
      <c r="D41" t="s">
        <v>64</v>
      </c>
      <c r="E41">
        <v>6</v>
      </c>
      <c r="F41">
        <v>329.71</v>
      </c>
      <c r="G41">
        <v>5</v>
      </c>
      <c r="H41" t="s">
        <v>20</v>
      </c>
      <c r="I41" t="s">
        <v>13</v>
      </c>
    </row>
    <row r="42" spans="1:9" x14ac:dyDescent="0.3">
      <c r="A42" s="1">
        <v>45698</v>
      </c>
      <c r="B42" t="s">
        <v>9</v>
      </c>
      <c r="C42" t="s">
        <v>30</v>
      </c>
      <c r="D42" t="s">
        <v>65</v>
      </c>
      <c r="E42">
        <v>19.7</v>
      </c>
      <c r="F42">
        <v>208.53</v>
      </c>
      <c r="G42">
        <v>4.3</v>
      </c>
      <c r="H42" t="s">
        <v>12</v>
      </c>
      <c r="I42" t="s">
        <v>13</v>
      </c>
    </row>
    <row r="43" spans="1:9" x14ac:dyDescent="0.3">
      <c r="A43" s="1">
        <v>45699</v>
      </c>
      <c r="B43" t="s">
        <v>42</v>
      </c>
      <c r="C43" t="s">
        <v>26</v>
      </c>
      <c r="D43" t="s">
        <v>66</v>
      </c>
      <c r="E43">
        <v>11.8</v>
      </c>
      <c r="F43">
        <v>787.29</v>
      </c>
      <c r="G43">
        <v>4.0999999999999996</v>
      </c>
      <c r="H43" t="s">
        <v>17</v>
      </c>
      <c r="I43" t="s">
        <v>13</v>
      </c>
    </row>
    <row r="44" spans="1:9" x14ac:dyDescent="0.3">
      <c r="A44" s="1">
        <v>45700</v>
      </c>
      <c r="B44" t="s">
        <v>9</v>
      </c>
      <c r="C44" t="s">
        <v>10</v>
      </c>
      <c r="D44" t="s">
        <v>67</v>
      </c>
      <c r="E44">
        <v>7.4</v>
      </c>
      <c r="F44">
        <v>687.25</v>
      </c>
      <c r="G44">
        <v>4.4000000000000004</v>
      </c>
      <c r="H44" t="s">
        <v>12</v>
      </c>
      <c r="I44" t="s">
        <v>13</v>
      </c>
    </row>
    <row r="45" spans="1:9" x14ac:dyDescent="0.3">
      <c r="A45" s="1">
        <v>45701</v>
      </c>
      <c r="B45" t="s">
        <v>25</v>
      </c>
      <c r="C45" t="s">
        <v>22</v>
      </c>
      <c r="D45" t="s">
        <v>68</v>
      </c>
      <c r="E45">
        <v>19.899999999999999</v>
      </c>
      <c r="F45">
        <v>702.28</v>
      </c>
      <c r="G45">
        <v>4.4000000000000004</v>
      </c>
      <c r="H45" t="s">
        <v>20</v>
      </c>
      <c r="I45" t="s">
        <v>13</v>
      </c>
    </row>
    <row r="46" spans="1:9" x14ac:dyDescent="0.3">
      <c r="A46" s="1">
        <v>45702</v>
      </c>
      <c r="B46" t="s">
        <v>25</v>
      </c>
      <c r="C46" t="s">
        <v>22</v>
      </c>
      <c r="D46" t="s">
        <v>69</v>
      </c>
      <c r="E46">
        <v>19.399999999999999</v>
      </c>
      <c r="F46">
        <v>275.18</v>
      </c>
      <c r="G46">
        <v>4.5999999999999996</v>
      </c>
      <c r="H46" t="s">
        <v>12</v>
      </c>
      <c r="I46" t="s">
        <v>13</v>
      </c>
    </row>
    <row r="47" spans="1:9" x14ac:dyDescent="0.3">
      <c r="A47" s="1">
        <v>45703</v>
      </c>
      <c r="B47" t="s">
        <v>42</v>
      </c>
      <c r="C47" t="s">
        <v>28</v>
      </c>
      <c r="D47" t="s">
        <v>70</v>
      </c>
      <c r="E47">
        <v>12.5</v>
      </c>
      <c r="F47">
        <v>127.18</v>
      </c>
      <c r="G47">
        <v>3.7</v>
      </c>
      <c r="H47" t="s">
        <v>20</v>
      </c>
      <c r="I47" t="s">
        <v>21</v>
      </c>
    </row>
    <row r="48" spans="1:9" x14ac:dyDescent="0.3">
      <c r="A48" s="1">
        <v>45704</v>
      </c>
      <c r="B48" t="s">
        <v>25</v>
      </c>
      <c r="C48" t="s">
        <v>26</v>
      </c>
      <c r="D48" t="s">
        <v>71</v>
      </c>
      <c r="E48">
        <v>18</v>
      </c>
      <c r="F48">
        <v>312.29000000000002</v>
      </c>
      <c r="G48">
        <v>3.9</v>
      </c>
      <c r="H48" t="s">
        <v>20</v>
      </c>
      <c r="I48" t="s">
        <v>13</v>
      </c>
    </row>
    <row r="49" spans="1:9" x14ac:dyDescent="0.3">
      <c r="A49" s="1">
        <v>45705</v>
      </c>
      <c r="B49" t="s">
        <v>14</v>
      </c>
      <c r="C49" t="s">
        <v>15</v>
      </c>
      <c r="D49" t="s">
        <v>72</v>
      </c>
      <c r="E49">
        <v>6.2</v>
      </c>
      <c r="F49">
        <v>475.96</v>
      </c>
      <c r="G49">
        <v>4.4000000000000004</v>
      </c>
      <c r="H49" t="s">
        <v>12</v>
      </c>
      <c r="I49" t="s">
        <v>21</v>
      </c>
    </row>
    <row r="50" spans="1:9" x14ac:dyDescent="0.3">
      <c r="A50" s="1">
        <v>45706</v>
      </c>
      <c r="B50" t="s">
        <v>25</v>
      </c>
      <c r="C50" t="s">
        <v>28</v>
      </c>
      <c r="D50" t="s">
        <v>73</v>
      </c>
      <c r="E50">
        <v>7.7</v>
      </c>
      <c r="F50">
        <v>328.66</v>
      </c>
      <c r="G50">
        <v>4.8</v>
      </c>
      <c r="H50" t="s">
        <v>17</v>
      </c>
      <c r="I50" t="s">
        <v>13</v>
      </c>
    </row>
    <row r="51" spans="1:9" x14ac:dyDescent="0.3">
      <c r="A51" s="1">
        <v>45707</v>
      </c>
      <c r="B51" t="s">
        <v>9</v>
      </c>
      <c r="C51" t="s">
        <v>26</v>
      </c>
      <c r="D51" t="s">
        <v>74</v>
      </c>
      <c r="E51">
        <v>14.9</v>
      </c>
      <c r="F51">
        <v>679.51</v>
      </c>
      <c r="G51">
        <v>4.3</v>
      </c>
      <c r="H51" t="s">
        <v>20</v>
      </c>
      <c r="I51" t="s">
        <v>13</v>
      </c>
    </row>
    <row r="52" spans="1:9" x14ac:dyDescent="0.3">
      <c r="A52" s="1">
        <v>45708</v>
      </c>
      <c r="B52" t="s">
        <v>9</v>
      </c>
      <c r="C52" t="s">
        <v>10</v>
      </c>
      <c r="D52" t="s">
        <v>75</v>
      </c>
      <c r="E52">
        <v>17.399999999999999</v>
      </c>
      <c r="F52">
        <v>290.08</v>
      </c>
      <c r="G52">
        <v>3.9</v>
      </c>
      <c r="H52" t="s">
        <v>12</v>
      </c>
      <c r="I52" t="s">
        <v>13</v>
      </c>
    </row>
    <row r="53" spans="1:9" x14ac:dyDescent="0.3">
      <c r="A53" s="1">
        <v>45709</v>
      </c>
      <c r="B53" t="s">
        <v>9</v>
      </c>
      <c r="C53" t="s">
        <v>10</v>
      </c>
      <c r="D53" t="s">
        <v>76</v>
      </c>
      <c r="E53">
        <v>17.600000000000001</v>
      </c>
      <c r="F53">
        <v>775.68</v>
      </c>
      <c r="G53">
        <v>4.5</v>
      </c>
      <c r="H53" t="s">
        <v>12</v>
      </c>
      <c r="I53" t="s">
        <v>13</v>
      </c>
    </row>
    <row r="54" spans="1:9" x14ac:dyDescent="0.3">
      <c r="A54" s="1">
        <v>45710</v>
      </c>
      <c r="B54" t="s">
        <v>9</v>
      </c>
      <c r="C54" t="s">
        <v>10</v>
      </c>
      <c r="D54" t="s">
        <v>77</v>
      </c>
      <c r="E54">
        <v>9.9</v>
      </c>
      <c r="F54">
        <v>420.09</v>
      </c>
      <c r="G54">
        <v>4.5999999999999996</v>
      </c>
      <c r="H54" t="s">
        <v>17</v>
      </c>
      <c r="I54" t="s">
        <v>13</v>
      </c>
    </row>
    <row r="55" spans="1:9" x14ac:dyDescent="0.3">
      <c r="A55" s="1">
        <v>45711</v>
      </c>
      <c r="B55" t="s">
        <v>14</v>
      </c>
      <c r="C55" t="s">
        <v>10</v>
      </c>
      <c r="D55" t="s">
        <v>78</v>
      </c>
      <c r="E55">
        <v>18.100000000000001</v>
      </c>
      <c r="F55">
        <v>689.42</v>
      </c>
      <c r="G55">
        <v>3.9</v>
      </c>
      <c r="H55" t="s">
        <v>20</v>
      </c>
      <c r="I55" t="s">
        <v>13</v>
      </c>
    </row>
    <row r="56" spans="1:9" x14ac:dyDescent="0.3">
      <c r="A56" s="1">
        <v>45712</v>
      </c>
      <c r="B56" t="s">
        <v>18</v>
      </c>
      <c r="C56" t="s">
        <v>10</v>
      </c>
      <c r="D56" t="s">
        <v>79</v>
      </c>
      <c r="E56">
        <v>17.5</v>
      </c>
      <c r="F56">
        <v>236.07</v>
      </c>
      <c r="G56">
        <v>4.0999999999999996</v>
      </c>
      <c r="H56" t="s">
        <v>20</v>
      </c>
      <c r="I56" t="s">
        <v>13</v>
      </c>
    </row>
    <row r="57" spans="1:9" x14ac:dyDescent="0.3">
      <c r="A57" s="1">
        <v>45713</v>
      </c>
      <c r="B57" t="s">
        <v>42</v>
      </c>
      <c r="C57" t="s">
        <v>26</v>
      </c>
      <c r="D57" t="s">
        <v>80</v>
      </c>
      <c r="E57">
        <v>18.899999999999999</v>
      </c>
      <c r="F57">
        <v>387.95</v>
      </c>
      <c r="G57">
        <v>4.3</v>
      </c>
      <c r="H57" t="s">
        <v>12</v>
      </c>
      <c r="I57" t="s">
        <v>21</v>
      </c>
    </row>
    <row r="58" spans="1:9" x14ac:dyDescent="0.3">
      <c r="A58" s="1">
        <v>45714</v>
      </c>
      <c r="B58" t="s">
        <v>9</v>
      </c>
      <c r="C58" t="s">
        <v>26</v>
      </c>
      <c r="D58" t="s">
        <v>81</v>
      </c>
      <c r="E58">
        <v>16.399999999999999</v>
      </c>
      <c r="F58">
        <v>589.66</v>
      </c>
      <c r="G58">
        <v>4.2</v>
      </c>
      <c r="H58" t="s">
        <v>12</v>
      </c>
      <c r="I58" t="s">
        <v>13</v>
      </c>
    </row>
    <row r="59" spans="1:9" x14ac:dyDescent="0.3">
      <c r="A59" s="1">
        <v>45715</v>
      </c>
      <c r="B59" t="s">
        <v>25</v>
      </c>
      <c r="C59" t="s">
        <v>30</v>
      </c>
      <c r="D59" t="s">
        <v>82</v>
      </c>
      <c r="E59">
        <v>14.4</v>
      </c>
      <c r="F59">
        <v>196.85</v>
      </c>
      <c r="G59">
        <v>4.0999999999999996</v>
      </c>
      <c r="H59" t="s">
        <v>17</v>
      </c>
      <c r="I59" t="s">
        <v>13</v>
      </c>
    </row>
    <row r="60" spans="1:9" x14ac:dyDescent="0.3">
      <c r="A60" s="1">
        <v>45716</v>
      </c>
      <c r="B60" t="s">
        <v>9</v>
      </c>
      <c r="C60" t="s">
        <v>22</v>
      </c>
      <c r="D60" t="s">
        <v>83</v>
      </c>
      <c r="E60">
        <v>12.9</v>
      </c>
      <c r="F60">
        <v>192.92</v>
      </c>
      <c r="G60">
        <v>3.9</v>
      </c>
      <c r="H60" t="s">
        <v>17</v>
      </c>
      <c r="I60" t="s">
        <v>13</v>
      </c>
    </row>
    <row r="61" spans="1:9" x14ac:dyDescent="0.3">
      <c r="A61" s="1">
        <v>45717</v>
      </c>
      <c r="B61" t="s">
        <v>25</v>
      </c>
      <c r="C61" t="s">
        <v>10</v>
      </c>
      <c r="D61" t="s">
        <v>84</v>
      </c>
      <c r="E61">
        <v>9.3000000000000007</v>
      </c>
      <c r="F61">
        <v>778.68</v>
      </c>
      <c r="G61">
        <v>3.6</v>
      </c>
      <c r="H61" t="s">
        <v>20</v>
      </c>
      <c r="I61" t="s">
        <v>13</v>
      </c>
    </row>
    <row r="62" spans="1:9" x14ac:dyDescent="0.3">
      <c r="A62" s="1">
        <v>45718</v>
      </c>
      <c r="B62" t="s">
        <v>25</v>
      </c>
      <c r="C62" t="s">
        <v>15</v>
      </c>
      <c r="D62" t="s">
        <v>85</v>
      </c>
      <c r="E62">
        <v>19</v>
      </c>
      <c r="F62">
        <v>600.22</v>
      </c>
      <c r="G62">
        <v>3.6</v>
      </c>
      <c r="H62" t="s">
        <v>20</v>
      </c>
      <c r="I62" t="s">
        <v>13</v>
      </c>
    </row>
    <row r="63" spans="1:9" x14ac:dyDescent="0.3">
      <c r="A63" s="1">
        <v>45719</v>
      </c>
      <c r="B63" t="s">
        <v>9</v>
      </c>
      <c r="C63" t="s">
        <v>26</v>
      </c>
      <c r="D63" t="s">
        <v>86</v>
      </c>
      <c r="E63">
        <v>19.600000000000001</v>
      </c>
      <c r="F63">
        <v>128.75</v>
      </c>
      <c r="G63">
        <v>4.9000000000000004</v>
      </c>
      <c r="H63" t="s">
        <v>12</v>
      </c>
      <c r="I63" t="s">
        <v>13</v>
      </c>
    </row>
    <row r="64" spans="1:9" x14ac:dyDescent="0.3">
      <c r="A64" s="1">
        <v>45720</v>
      </c>
      <c r="B64" t="s">
        <v>14</v>
      </c>
      <c r="C64" t="s">
        <v>15</v>
      </c>
      <c r="D64" t="s">
        <v>87</v>
      </c>
      <c r="E64">
        <v>7.8</v>
      </c>
      <c r="F64">
        <v>379.17</v>
      </c>
      <c r="G64">
        <v>4.8</v>
      </c>
      <c r="H64" t="s">
        <v>20</v>
      </c>
      <c r="I64" t="s">
        <v>13</v>
      </c>
    </row>
    <row r="65" spans="1:9" x14ac:dyDescent="0.3">
      <c r="A65" s="1">
        <v>45721</v>
      </c>
      <c r="B65" t="s">
        <v>25</v>
      </c>
      <c r="C65" t="s">
        <v>15</v>
      </c>
      <c r="D65" t="s">
        <v>88</v>
      </c>
      <c r="E65">
        <v>8.1999999999999993</v>
      </c>
      <c r="F65">
        <v>403.46</v>
      </c>
      <c r="G65">
        <v>4</v>
      </c>
      <c r="H65" t="s">
        <v>17</v>
      </c>
      <c r="I65" t="s">
        <v>13</v>
      </c>
    </row>
    <row r="66" spans="1:9" x14ac:dyDescent="0.3">
      <c r="A66" s="1">
        <v>45722</v>
      </c>
      <c r="B66" t="s">
        <v>25</v>
      </c>
      <c r="C66" t="s">
        <v>15</v>
      </c>
      <c r="D66" t="s">
        <v>89</v>
      </c>
      <c r="E66">
        <v>11.3</v>
      </c>
      <c r="F66">
        <v>620.83000000000004</v>
      </c>
      <c r="G66">
        <v>4.9000000000000004</v>
      </c>
      <c r="H66" t="s">
        <v>17</v>
      </c>
      <c r="I66" t="s">
        <v>13</v>
      </c>
    </row>
    <row r="67" spans="1:9" x14ac:dyDescent="0.3">
      <c r="A67" s="1">
        <v>45723</v>
      </c>
      <c r="B67" t="s">
        <v>9</v>
      </c>
      <c r="C67" t="s">
        <v>30</v>
      </c>
      <c r="D67" t="s">
        <v>90</v>
      </c>
      <c r="E67">
        <v>10.6</v>
      </c>
      <c r="F67">
        <v>275.60000000000002</v>
      </c>
      <c r="G67">
        <v>4.5</v>
      </c>
      <c r="H67" t="s">
        <v>12</v>
      </c>
      <c r="I67" t="s">
        <v>13</v>
      </c>
    </row>
    <row r="68" spans="1:9" x14ac:dyDescent="0.3">
      <c r="A68" s="1">
        <v>45724</v>
      </c>
      <c r="B68" t="s">
        <v>25</v>
      </c>
      <c r="C68" t="s">
        <v>26</v>
      </c>
      <c r="D68" t="s">
        <v>91</v>
      </c>
      <c r="E68">
        <v>19.899999999999999</v>
      </c>
      <c r="F68">
        <v>229.03</v>
      </c>
      <c r="G68">
        <v>4.2</v>
      </c>
      <c r="H68" t="s">
        <v>17</v>
      </c>
      <c r="I68" t="s">
        <v>13</v>
      </c>
    </row>
    <row r="69" spans="1:9" x14ac:dyDescent="0.3">
      <c r="A69" s="1">
        <v>45725</v>
      </c>
      <c r="B69" t="s">
        <v>25</v>
      </c>
      <c r="C69" t="s">
        <v>15</v>
      </c>
      <c r="D69" t="s">
        <v>92</v>
      </c>
      <c r="E69">
        <v>6</v>
      </c>
      <c r="F69">
        <v>156.61000000000001</v>
      </c>
      <c r="G69">
        <v>4.2</v>
      </c>
      <c r="H69" t="s">
        <v>17</v>
      </c>
      <c r="I69" t="s">
        <v>13</v>
      </c>
    </row>
    <row r="70" spans="1:9" x14ac:dyDescent="0.3">
      <c r="A70" s="1">
        <v>45726</v>
      </c>
      <c r="B70" t="s">
        <v>9</v>
      </c>
      <c r="C70" t="s">
        <v>10</v>
      </c>
      <c r="D70" t="s">
        <v>93</v>
      </c>
      <c r="E70">
        <v>3.3</v>
      </c>
      <c r="F70">
        <v>399.82</v>
      </c>
      <c r="G70">
        <v>3.6</v>
      </c>
      <c r="H70" t="s">
        <v>17</v>
      </c>
      <c r="I70" t="s">
        <v>13</v>
      </c>
    </row>
    <row r="71" spans="1:9" x14ac:dyDescent="0.3">
      <c r="A71" s="1">
        <v>45727</v>
      </c>
      <c r="B71" t="s">
        <v>9</v>
      </c>
      <c r="C71" t="s">
        <v>28</v>
      </c>
      <c r="D71" t="s">
        <v>94</v>
      </c>
      <c r="E71">
        <v>11.4</v>
      </c>
      <c r="F71">
        <v>581.95000000000005</v>
      </c>
      <c r="G71">
        <v>3.6</v>
      </c>
      <c r="H71" t="s">
        <v>17</v>
      </c>
      <c r="I71" t="s">
        <v>13</v>
      </c>
    </row>
    <row r="72" spans="1:9" x14ac:dyDescent="0.3">
      <c r="A72" s="1">
        <v>45728</v>
      </c>
      <c r="B72" t="s">
        <v>42</v>
      </c>
      <c r="C72" t="s">
        <v>15</v>
      </c>
      <c r="D72" t="s">
        <v>95</v>
      </c>
      <c r="E72">
        <v>6</v>
      </c>
      <c r="F72">
        <v>140.74</v>
      </c>
      <c r="G72">
        <v>4.4000000000000004</v>
      </c>
      <c r="H72" t="s">
        <v>12</v>
      </c>
      <c r="I72" t="s">
        <v>13</v>
      </c>
    </row>
    <row r="73" spans="1:9" x14ac:dyDescent="0.3">
      <c r="A73" s="1">
        <v>45729</v>
      </c>
      <c r="B73" t="s">
        <v>14</v>
      </c>
      <c r="C73" t="s">
        <v>30</v>
      </c>
      <c r="D73" t="s">
        <v>96</v>
      </c>
      <c r="E73">
        <v>9.1999999999999993</v>
      </c>
      <c r="F73">
        <v>740.65</v>
      </c>
      <c r="G73">
        <v>4.3</v>
      </c>
      <c r="H73" t="s">
        <v>12</v>
      </c>
      <c r="I73" t="s">
        <v>13</v>
      </c>
    </row>
    <row r="74" spans="1:9" x14ac:dyDescent="0.3">
      <c r="A74" s="1">
        <v>45730</v>
      </c>
      <c r="B74" t="s">
        <v>14</v>
      </c>
      <c r="C74" t="s">
        <v>26</v>
      </c>
      <c r="D74" t="s">
        <v>97</v>
      </c>
      <c r="E74">
        <v>15.7</v>
      </c>
      <c r="F74">
        <v>409.65</v>
      </c>
      <c r="G74">
        <v>3.8</v>
      </c>
      <c r="H74" t="s">
        <v>20</v>
      </c>
      <c r="I74" t="s">
        <v>13</v>
      </c>
    </row>
    <row r="75" spans="1:9" x14ac:dyDescent="0.3">
      <c r="A75" s="1">
        <v>45731</v>
      </c>
      <c r="B75" t="s">
        <v>25</v>
      </c>
      <c r="C75" t="s">
        <v>30</v>
      </c>
      <c r="D75" t="s">
        <v>98</v>
      </c>
      <c r="E75">
        <v>15.3</v>
      </c>
      <c r="F75">
        <v>267.85000000000002</v>
      </c>
      <c r="G75">
        <v>4.9000000000000004</v>
      </c>
      <c r="H75" t="s">
        <v>17</v>
      </c>
      <c r="I75" t="s">
        <v>13</v>
      </c>
    </row>
    <row r="76" spans="1:9" x14ac:dyDescent="0.3">
      <c r="A76" s="1">
        <v>45732</v>
      </c>
      <c r="B76" t="s">
        <v>14</v>
      </c>
      <c r="C76" t="s">
        <v>15</v>
      </c>
      <c r="D76" t="s">
        <v>99</v>
      </c>
      <c r="E76">
        <v>8.1999999999999993</v>
      </c>
      <c r="F76">
        <v>165.71</v>
      </c>
      <c r="G76">
        <v>4.7</v>
      </c>
      <c r="H76" t="s">
        <v>20</v>
      </c>
      <c r="I76" t="s">
        <v>13</v>
      </c>
    </row>
    <row r="77" spans="1:9" x14ac:dyDescent="0.3">
      <c r="A77" s="1">
        <v>45733</v>
      </c>
      <c r="B77" t="s">
        <v>25</v>
      </c>
      <c r="C77" t="s">
        <v>26</v>
      </c>
      <c r="D77" t="s">
        <v>100</v>
      </c>
      <c r="E77">
        <v>12.2</v>
      </c>
      <c r="F77">
        <v>228.01</v>
      </c>
      <c r="G77">
        <v>3.7</v>
      </c>
      <c r="H77" t="s">
        <v>12</v>
      </c>
      <c r="I77" t="s">
        <v>13</v>
      </c>
    </row>
    <row r="78" spans="1:9" x14ac:dyDescent="0.3">
      <c r="A78" s="1">
        <v>45734</v>
      </c>
      <c r="B78" t="s">
        <v>42</v>
      </c>
      <c r="C78" t="s">
        <v>28</v>
      </c>
      <c r="D78" t="s">
        <v>101</v>
      </c>
      <c r="E78">
        <v>11.6</v>
      </c>
      <c r="F78">
        <v>754.23</v>
      </c>
      <c r="G78">
        <v>4.9000000000000004</v>
      </c>
      <c r="H78" t="s">
        <v>12</v>
      </c>
      <c r="I78" t="s">
        <v>13</v>
      </c>
    </row>
    <row r="79" spans="1:9" x14ac:dyDescent="0.3">
      <c r="A79" s="1">
        <v>45735</v>
      </c>
      <c r="B79" t="s">
        <v>9</v>
      </c>
      <c r="C79" t="s">
        <v>15</v>
      </c>
      <c r="D79" t="s">
        <v>102</v>
      </c>
      <c r="E79">
        <v>13.8</v>
      </c>
      <c r="F79">
        <v>546.79</v>
      </c>
      <c r="G79">
        <v>5</v>
      </c>
      <c r="H79" t="s">
        <v>12</v>
      </c>
      <c r="I79" t="s">
        <v>13</v>
      </c>
    </row>
    <row r="80" spans="1:9" x14ac:dyDescent="0.3">
      <c r="A80" s="1">
        <v>45736</v>
      </c>
      <c r="B80" t="s">
        <v>9</v>
      </c>
      <c r="C80" t="s">
        <v>30</v>
      </c>
      <c r="D80" t="s">
        <v>103</v>
      </c>
      <c r="E80">
        <v>7.3</v>
      </c>
      <c r="F80">
        <v>461.69</v>
      </c>
      <c r="G80">
        <v>5</v>
      </c>
      <c r="H80" t="s">
        <v>12</v>
      </c>
      <c r="I80" t="s">
        <v>21</v>
      </c>
    </row>
    <row r="81" spans="1:9" x14ac:dyDescent="0.3">
      <c r="A81" s="1">
        <v>45737</v>
      </c>
      <c r="B81" t="s">
        <v>9</v>
      </c>
      <c r="C81" t="s">
        <v>22</v>
      </c>
      <c r="D81" t="s">
        <v>104</v>
      </c>
      <c r="E81">
        <v>13</v>
      </c>
      <c r="F81">
        <v>559.98</v>
      </c>
      <c r="G81">
        <v>3.6</v>
      </c>
      <c r="H81" t="s">
        <v>12</v>
      </c>
      <c r="I81" t="s">
        <v>13</v>
      </c>
    </row>
    <row r="82" spans="1:9" x14ac:dyDescent="0.3">
      <c r="A82" s="1">
        <v>45738</v>
      </c>
      <c r="B82" t="s">
        <v>14</v>
      </c>
      <c r="C82" t="s">
        <v>10</v>
      </c>
      <c r="D82" t="s">
        <v>105</v>
      </c>
      <c r="E82">
        <v>19.600000000000001</v>
      </c>
      <c r="F82">
        <v>404.97</v>
      </c>
      <c r="G82">
        <v>4.5999999999999996</v>
      </c>
      <c r="H82" t="s">
        <v>12</v>
      </c>
      <c r="I82" t="s">
        <v>21</v>
      </c>
    </row>
    <row r="83" spans="1:9" x14ac:dyDescent="0.3">
      <c r="A83" s="1">
        <v>45739</v>
      </c>
      <c r="B83" t="s">
        <v>42</v>
      </c>
      <c r="C83" t="s">
        <v>30</v>
      </c>
      <c r="D83" t="s">
        <v>106</v>
      </c>
      <c r="E83">
        <v>11.3</v>
      </c>
      <c r="F83">
        <v>611.03</v>
      </c>
      <c r="G83">
        <v>4.3</v>
      </c>
      <c r="H83" t="s">
        <v>12</v>
      </c>
      <c r="I83" t="s">
        <v>13</v>
      </c>
    </row>
    <row r="84" spans="1:9" x14ac:dyDescent="0.3">
      <c r="A84" s="1">
        <v>45740</v>
      </c>
      <c r="B84" t="s">
        <v>14</v>
      </c>
      <c r="C84" t="s">
        <v>26</v>
      </c>
      <c r="D84" t="s">
        <v>107</v>
      </c>
      <c r="E84">
        <v>18.399999999999999</v>
      </c>
      <c r="F84">
        <v>133.4</v>
      </c>
      <c r="G84">
        <v>4.5999999999999996</v>
      </c>
      <c r="H84" t="s">
        <v>17</v>
      </c>
      <c r="I84" t="s">
        <v>13</v>
      </c>
    </row>
    <row r="85" spans="1:9" x14ac:dyDescent="0.3">
      <c r="A85" s="1">
        <v>45741</v>
      </c>
      <c r="B85" t="s">
        <v>14</v>
      </c>
      <c r="C85" t="s">
        <v>15</v>
      </c>
      <c r="D85" t="s">
        <v>108</v>
      </c>
      <c r="E85">
        <v>10.4</v>
      </c>
      <c r="F85">
        <v>496.23</v>
      </c>
      <c r="G85">
        <v>5</v>
      </c>
      <c r="H85" t="s">
        <v>20</v>
      </c>
      <c r="I85" t="s">
        <v>13</v>
      </c>
    </row>
    <row r="86" spans="1:9" x14ac:dyDescent="0.3">
      <c r="A86" s="1">
        <v>45742</v>
      </c>
      <c r="B86" t="s">
        <v>42</v>
      </c>
      <c r="C86" t="s">
        <v>10</v>
      </c>
      <c r="D86" t="s">
        <v>109</v>
      </c>
      <c r="E86">
        <v>9</v>
      </c>
      <c r="F86">
        <v>211.05</v>
      </c>
      <c r="G86">
        <v>4.5</v>
      </c>
      <c r="H86" t="s">
        <v>12</v>
      </c>
      <c r="I86" t="s">
        <v>13</v>
      </c>
    </row>
    <row r="87" spans="1:9" x14ac:dyDescent="0.3">
      <c r="A87" s="1">
        <v>45743</v>
      </c>
      <c r="B87" t="s">
        <v>42</v>
      </c>
      <c r="C87" t="s">
        <v>15</v>
      </c>
      <c r="D87" t="s">
        <v>110</v>
      </c>
      <c r="E87">
        <v>14</v>
      </c>
      <c r="F87">
        <v>184.12</v>
      </c>
      <c r="G87">
        <v>4.8</v>
      </c>
      <c r="H87" t="s">
        <v>17</v>
      </c>
      <c r="I87" t="s">
        <v>13</v>
      </c>
    </row>
    <row r="88" spans="1:9" x14ac:dyDescent="0.3">
      <c r="A88" s="1">
        <v>45744</v>
      </c>
      <c r="B88" t="s">
        <v>42</v>
      </c>
      <c r="C88" t="s">
        <v>26</v>
      </c>
      <c r="D88" t="s">
        <v>111</v>
      </c>
      <c r="E88">
        <v>14.4</v>
      </c>
      <c r="F88">
        <v>339.32</v>
      </c>
      <c r="G88">
        <v>4.8</v>
      </c>
      <c r="H88" t="s">
        <v>17</v>
      </c>
      <c r="I88" t="s">
        <v>13</v>
      </c>
    </row>
    <row r="89" spans="1:9" x14ac:dyDescent="0.3">
      <c r="A89" s="1">
        <v>45745</v>
      </c>
      <c r="B89" t="s">
        <v>42</v>
      </c>
      <c r="C89" t="s">
        <v>15</v>
      </c>
      <c r="D89" t="s">
        <v>112</v>
      </c>
      <c r="E89">
        <v>17.7</v>
      </c>
      <c r="F89">
        <v>164.26</v>
      </c>
      <c r="G89">
        <v>4.8</v>
      </c>
      <c r="H89" t="s">
        <v>20</v>
      </c>
      <c r="I89" t="s">
        <v>13</v>
      </c>
    </row>
    <row r="90" spans="1:9" x14ac:dyDescent="0.3">
      <c r="A90" s="1">
        <v>45746</v>
      </c>
      <c r="B90" t="s">
        <v>9</v>
      </c>
      <c r="C90" t="s">
        <v>22</v>
      </c>
      <c r="D90" t="s">
        <v>113</v>
      </c>
      <c r="E90">
        <v>6.9</v>
      </c>
      <c r="F90">
        <v>165.91</v>
      </c>
      <c r="G90">
        <v>4.0999999999999996</v>
      </c>
      <c r="H90" t="s">
        <v>12</v>
      </c>
      <c r="I90" t="s">
        <v>13</v>
      </c>
    </row>
    <row r="91" spans="1:9" x14ac:dyDescent="0.3">
      <c r="A91" s="1">
        <v>45747</v>
      </c>
      <c r="B91" t="s">
        <v>18</v>
      </c>
      <c r="C91" t="s">
        <v>10</v>
      </c>
      <c r="D91" t="s">
        <v>114</v>
      </c>
      <c r="E91">
        <v>11.5</v>
      </c>
      <c r="F91">
        <v>317.99</v>
      </c>
      <c r="G91">
        <v>3.8</v>
      </c>
      <c r="H91" t="s">
        <v>20</v>
      </c>
      <c r="I91" t="s">
        <v>13</v>
      </c>
    </row>
    <row r="92" spans="1:9" x14ac:dyDescent="0.3">
      <c r="A92" s="1">
        <v>45748</v>
      </c>
      <c r="B92" t="s">
        <v>18</v>
      </c>
      <c r="C92" t="s">
        <v>10</v>
      </c>
      <c r="D92" t="s">
        <v>115</v>
      </c>
      <c r="E92">
        <v>12.7</v>
      </c>
      <c r="F92">
        <v>785.66</v>
      </c>
      <c r="G92">
        <v>4.0999999999999996</v>
      </c>
      <c r="H92" t="s">
        <v>12</v>
      </c>
      <c r="I92" t="s">
        <v>21</v>
      </c>
    </row>
    <row r="93" spans="1:9" x14ac:dyDescent="0.3">
      <c r="A93" s="1">
        <v>45749</v>
      </c>
      <c r="B93" t="s">
        <v>42</v>
      </c>
      <c r="C93" t="s">
        <v>26</v>
      </c>
      <c r="D93" t="s">
        <v>116</v>
      </c>
      <c r="E93">
        <v>16.100000000000001</v>
      </c>
      <c r="F93">
        <v>222.73</v>
      </c>
      <c r="G93">
        <v>4.8</v>
      </c>
      <c r="H93" t="s">
        <v>17</v>
      </c>
      <c r="I93" t="s">
        <v>13</v>
      </c>
    </row>
    <row r="94" spans="1:9" x14ac:dyDescent="0.3">
      <c r="A94" s="1">
        <v>45750</v>
      </c>
      <c r="B94" t="s">
        <v>18</v>
      </c>
      <c r="C94" t="s">
        <v>22</v>
      </c>
      <c r="D94" t="s">
        <v>117</v>
      </c>
      <c r="E94">
        <v>3.7</v>
      </c>
      <c r="F94">
        <v>112.01</v>
      </c>
      <c r="G94">
        <v>3.7</v>
      </c>
      <c r="H94" t="s">
        <v>17</v>
      </c>
      <c r="I94" t="s">
        <v>13</v>
      </c>
    </row>
    <row r="95" spans="1:9" x14ac:dyDescent="0.3">
      <c r="A95" s="1">
        <v>45751</v>
      </c>
      <c r="B95" t="s">
        <v>18</v>
      </c>
      <c r="C95" t="s">
        <v>30</v>
      </c>
      <c r="D95" t="s">
        <v>118</v>
      </c>
      <c r="E95">
        <v>19.899999999999999</v>
      </c>
      <c r="F95">
        <v>634.36</v>
      </c>
      <c r="G95">
        <v>4.3</v>
      </c>
      <c r="H95" t="s">
        <v>17</v>
      </c>
      <c r="I95" t="s">
        <v>13</v>
      </c>
    </row>
    <row r="96" spans="1:9" x14ac:dyDescent="0.3">
      <c r="A96" s="1">
        <v>45752</v>
      </c>
      <c r="B96" t="s">
        <v>42</v>
      </c>
      <c r="C96" t="s">
        <v>15</v>
      </c>
      <c r="D96" t="s">
        <v>119</v>
      </c>
      <c r="E96">
        <v>11</v>
      </c>
      <c r="F96">
        <v>664.84</v>
      </c>
      <c r="G96">
        <v>3.8</v>
      </c>
      <c r="H96" t="s">
        <v>17</v>
      </c>
      <c r="I96" t="s">
        <v>13</v>
      </c>
    </row>
    <row r="97" spans="1:9" x14ac:dyDescent="0.3">
      <c r="A97" s="1">
        <v>45753</v>
      </c>
      <c r="B97" t="s">
        <v>18</v>
      </c>
      <c r="C97" t="s">
        <v>28</v>
      </c>
      <c r="D97" t="s">
        <v>120</v>
      </c>
      <c r="E97">
        <v>7.8</v>
      </c>
      <c r="F97">
        <v>342.41</v>
      </c>
      <c r="G97">
        <v>4.4000000000000004</v>
      </c>
      <c r="H97" t="s">
        <v>20</v>
      </c>
      <c r="I97" t="s">
        <v>13</v>
      </c>
    </row>
    <row r="98" spans="1:9" x14ac:dyDescent="0.3">
      <c r="A98" s="1">
        <v>45754</v>
      </c>
      <c r="B98" t="s">
        <v>14</v>
      </c>
      <c r="C98" t="s">
        <v>15</v>
      </c>
      <c r="D98" t="s">
        <v>121</v>
      </c>
      <c r="E98">
        <v>18</v>
      </c>
      <c r="F98">
        <v>425.27</v>
      </c>
      <c r="G98">
        <v>4.8</v>
      </c>
      <c r="H98" t="s">
        <v>12</v>
      </c>
      <c r="I98" t="s">
        <v>13</v>
      </c>
    </row>
    <row r="99" spans="1:9" x14ac:dyDescent="0.3">
      <c r="A99" s="1">
        <v>45755</v>
      </c>
      <c r="B99" t="s">
        <v>25</v>
      </c>
      <c r="C99" t="s">
        <v>15</v>
      </c>
      <c r="D99" t="s">
        <v>122</v>
      </c>
      <c r="E99">
        <v>15.7</v>
      </c>
      <c r="F99">
        <v>554.84</v>
      </c>
      <c r="G99">
        <v>4.8</v>
      </c>
      <c r="H99" t="s">
        <v>12</v>
      </c>
      <c r="I99" t="s">
        <v>13</v>
      </c>
    </row>
    <row r="100" spans="1:9" x14ac:dyDescent="0.3">
      <c r="A100" s="1">
        <v>45756</v>
      </c>
      <c r="B100" t="s">
        <v>25</v>
      </c>
      <c r="C100" t="s">
        <v>30</v>
      </c>
      <c r="D100" t="s">
        <v>123</v>
      </c>
      <c r="E100">
        <v>19.2</v>
      </c>
      <c r="F100">
        <v>133.63999999999999</v>
      </c>
      <c r="G100">
        <v>3.9</v>
      </c>
      <c r="H100" t="s">
        <v>20</v>
      </c>
      <c r="I100" t="s">
        <v>13</v>
      </c>
    </row>
    <row r="101" spans="1:9" x14ac:dyDescent="0.3">
      <c r="A101" s="1">
        <v>45757</v>
      </c>
      <c r="B101" t="s">
        <v>42</v>
      </c>
      <c r="C101" t="s">
        <v>15</v>
      </c>
      <c r="D101" t="s">
        <v>124</v>
      </c>
      <c r="E101">
        <v>8.6</v>
      </c>
      <c r="F101">
        <v>764.4</v>
      </c>
      <c r="G101">
        <v>4.9000000000000004</v>
      </c>
      <c r="H101" t="s">
        <v>12</v>
      </c>
      <c r="I101"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B762-C1E8-4567-A1C5-B0AB301642A9}">
  <dimension ref="A1:B7"/>
  <sheetViews>
    <sheetView workbookViewId="0">
      <selection activeCell="O4" sqref="O4"/>
    </sheetView>
  </sheetViews>
  <sheetFormatPr defaultRowHeight="14.4" x14ac:dyDescent="0.3"/>
  <cols>
    <col min="1" max="1" width="12.5546875" bestFit="1" customWidth="1"/>
    <col min="2" max="2" width="13.88671875" bestFit="1" customWidth="1"/>
  </cols>
  <sheetData>
    <row r="1" spans="1:2" x14ac:dyDescent="0.3">
      <c r="A1" s="2" t="s">
        <v>125</v>
      </c>
      <c r="B1" t="s">
        <v>127</v>
      </c>
    </row>
    <row r="2" spans="1:2" x14ac:dyDescent="0.3">
      <c r="A2" s="3" t="s">
        <v>18</v>
      </c>
      <c r="B2" s="5">
        <v>7323.48</v>
      </c>
    </row>
    <row r="3" spans="1:2" x14ac:dyDescent="0.3">
      <c r="A3" s="3" t="s">
        <v>9</v>
      </c>
      <c r="B3" s="5">
        <v>11341.42</v>
      </c>
    </row>
    <row r="4" spans="1:2" x14ac:dyDescent="0.3">
      <c r="A4" s="3" t="s">
        <v>25</v>
      </c>
      <c r="B4" s="5">
        <v>7301.8200000000006</v>
      </c>
    </row>
    <row r="5" spans="1:2" x14ac:dyDescent="0.3">
      <c r="A5" s="3" t="s">
        <v>14</v>
      </c>
      <c r="B5" s="5">
        <v>7242.5299999999988</v>
      </c>
    </row>
    <row r="6" spans="1:2" x14ac:dyDescent="0.3">
      <c r="A6" s="3" t="s">
        <v>42</v>
      </c>
      <c r="B6" s="5">
        <v>7092.2999999999993</v>
      </c>
    </row>
    <row r="7" spans="1:2" x14ac:dyDescent="0.3">
      <c r="A7" s="3" t="s">
        <v>126</v>
      </c>
      <c r="B7" s="5">
        <v>40301.550000000003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08B6C-36D3-4A5B-A53E-FF365120EFB6}">
  <dimension ref="A1:B8"/>
  <sheetViews>
    <sheetView workbookViewId="0">
      <selection activeCell="L23" sqref="L23"/>
    </sheetView>
  </sheetViews>
  <sheetFormatPr defaultRowHeight="14.4" x14ac:dyDescent="0.3"/>
  <cols>
    <col min="1" max="1" width="12.5546875" bestFit="1" customWidth="1"/>
    <col min="2" max="2" width="12.77734375" bestFit="1" customWidth="1"/>
  </cols>
  <sheetData>
    <row r="1" spans="1:2" x14ac:dyDescent="0.3">
      <c r="A1" s="2" t="s">
        <v>125</v>
      </c>
      <c r="B1" t="s">
        <v>128</v>
      </c>
    </row>
    <row r="2" spans="1:2" x14ac:dyDescent="0.3">
      <c r="A2" s="3" t="s">
        <v>26</v>
      </c>
      <c r="B2" s="5">
        <v>72.899999999999991</v>
      </c>
    </row>
    <row r="3" spans="1:2" x14ac:dyDescent="0.3">
      <c r="A3" s="3" t="s">
        <v>30</v>
      </c>
      <c r="B3" s="5">
        <v>79.3</v>
      </c>
    </row>
    <row r="4" spans="1:2" x14ac:dyDescent="0.3">
      <c r="A4" s="3" t="s">
        <v>10</v>
      </c>
      <c r="B4" s="5">
        <v>78.099999999999994</v>
      </c>
    </row>
    <row r="5" spans="1:2" x14ac:dyDescent="0.3">
      <c r="A5" s="3" t="s">
        <v>22</v>
      </c>
      <c r="B5" s="5">
        <v>41.800000000000004</v>
      </c>
    </row>
    <row r="6" spans="1:2" x14ac:dyDescent="0.3">
      <c r="A6" s="3" t="s">
        <v>15</v>
      </c>
      <c r="B6" s="5">
        <v>98.899999999999991</v>
      </c>
    </row>
    <row r="7" spans="1:2" x14ac:dyDescent="0.3">
      <c r="A7" s="3" t="s">
        <v>28</v>
      </c>
      <c r="B7" s="5">
        <v>61.300000000000004</v>
      </c>
    </row>
    <row r="8" spans="1:2" x14ac:dyDescent="0.3">
      <c r="A8" s="3" t="s">
        <v>126</v>
      </c>
      <c r="B8" s="5">
        <v>432.29999999999995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B9A8-9808-461F-9919-7E831AC05174}">
  <dimension ref="A1:B5"/>
  <sheetViews>
    <sheetView workbookViewId="0">
      <selection activeCell="I25" sqref="I25"/>
    </sheetView>
  </sheetViews>
  <sheetFormatPr defaultRowHeight="14.4" x14ac:dyDescent="0.3"/>
  <cols>
    <col min="1" max="1" width="12.5546875" bestFit="1" customWidth="1"/>
    <col min="2" max="2" width="13.88671875" bestFit="1" customWidth="1"/>
  </cols>
  <sheetData>
    <row r="1" spans="1:2" x14ac:dyDescent="0.3">
      <c r="A1" s="2" t="s">
        <v>125</v>
      </c>
      <c r="B1" t="s">
        <v>127</v>
      </c>
    </row>
    <row r="2" spans="1:2" x14ac:dyDescent="0.3">
      <c r="A2" s="3" t="s">
        <v>20</v>
      </c>
      <c r="B2" s="5">
        <v>11399.299999999997</v>
      </c>
    </row>
    <row r="3" spans="1:2" x14ac:dyDescent="0.3">
      <c r="A3" s="3" t="s">
        <v>17</v>
      </c>
      <c r="B3" s="5">
        <v>11153</v>
      </c>
    </row>
    <row r="4" spans="1:2" x14ac:dyDescent="0.3">
      <c r="A4" s="3" t="s">
        <v>12</v>
      </c>
      <c r="B4" s="5">
        <v>17749.25</v>
      </c>
    </row>
    <row r="5" spans="1:2" x14ac:dyDescent="0.3">
      <c r="A5" s="3" t="s">
        <v>126</v>
      </c>
      <c r="B5" s="5">
        <v>40301.549999999996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0CE34-CF56-4E9D-895D-1C6BA3D5B267}">
  <dimension ref="A1:B6"/>
  <sheetViews>
    <sheetView workbookViewId="0">
      <selection activeCell="B6" sqref="B6"/>
    </sheetView>
  </sheetViews>
  <sheetFormatPr defaultRowHeight="14.4" x14ac:dyDescent="0.3"/>
  <cols>
    <col min="1" max="1" width="12.5546875" bestFit="1" customWidth="1"/>
    <col min="2" max="2" width="19.21875" bestFit="1" customWidth="1"/>
  </cols>
  <sheetData>
    <row r="1" spans="1:2" x14ac:dyDescent="0.3">
      <c r="A1" s="2" t="s">
        <v>125</v>
      </c>
      <c r="B1" t="s">
        <v>129</v>
      </c>
    </row>
    <row r="2" spans="1:2" x14ac:dyDescent="0.3">
      <c r="A2" s="3" t="s">
        <v>130</v>
      </c>
      <c r="B2" s="5">
        <v>369.1</v>
      </c>
    </row>
    <row r="3" spans="1:2" x14ac:dyDescent="0.3">
      <c r="A3" s="3" t="s">
        <v>131</v>
      </c>
      <c r="B3" s="5">
        <v>386.09999999999991</v>
      </c>
    </row>
    <row r="4" spans="1:2" x14ac:dyDescent="0.3">
      <c r="A4" s="3" t="s">
        <v>132</v>
      </c>
      <c r="B4" s="5">
        <v>371.89999999999986</v>
      </c>
    </row>
    <row r="5" spans="1:2" x14ac:dyDescent="0.3">
      <c r="A5" s="3" t="s">
        <v>133</v>
      </c>
      <c r="B5" s="5">
        <v>132.70000000000002</v>
      </c>
    </row>
    <row r="6" spans="1:2" x14ac:dyDescent="0.3">
      <c r="A6" s="3" t="s">
        <v>126</v>
      </c>
      <c r="B6" s="5">
        <v>1259.8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6108-CFA9-4243-AB8D-C4D560697CD5}">
  <dimension ref="A1:G5"/>
  <sheetViews>
    <sheetView workbookViewId="0">
      <selection activeCell="G3" sqref="G3"/>
    </sheetView>
  </sheetViews>
  <sheetFormatPr defaultRowHeight="14.4" x14ac:dyDescent="0.3"/>
  <cols>
    <col min="1" max="1" width="12.5546875" bestFit="1" customWidth="1"/>
    <col min="2" max="2" width="15.5546875" bestFit="1" customWidth="1"/>
    <col min="3" max="3" width="7.88671875" bestFit="1" customWidth="1"/>
    <col min="4" max="4" width="5.21875" bestFit="1" customWidth="1"/>
    <col min="5" max="5" width="10.21875" bestFit="1" customWidth="1"/>
    <col min="6" max="6" width="8.109375" bestFit="1" customWidth="1"/>
    <col min="7" max="8" width="10.77734375" bestFit="1" customWidth="1"/>
    <col min="9" max="101" width="6" bestFit="1" customWidth="1"/>
    <col min="102" max="102" width="10.77734375" bestFit="1" customWidth="1"/>
  </cols>
  <sheetData>
    <row r="1" spans="1:7" x14ac:dyDescent="0.3">
      <c r="A1" s="2" t="s">
        <v>134</v>
      </c>
      <c r="B1" s="2" t="s">
        <v>135</v>
      </c>
    </row>
    <row r="2" spans="1:7" x14ac:dyDescent="0.3">
      <c r="A2" s="2" t="s">
        <v>125</v>
      </c>
      <c r="B2" t="s">
        <v>18</v>
      </c>
      <c r="C2" t="s">
        <v>9</v>
      </c>
      <c r="D2" t="s">
        <v>25</v>
      </c>
      <c r="E2" t="s">
        <v>14</v>
      </c>
      <c r="F2" t="s">
        <v>42</v>
      </c>
      <c r="G2" t="s">
        <v>126</v>
      </c>
    </row>
    <row r="3" spans="1:7" x14ac:dyDescent="0.3">
      <c r="A3" s="3" t="s">
        <v>21</v>
      </c>
      <c r="B3" s="5">
        <v>4</v>
      </c>
      <c r="C3" s="5">
        <v>2</v>
      </c>
      <c r="D3" s="5"/>
      <c r="E3" s="5">
        <v>2</v>
      </c>
      <c r="F3" s="5">
        <v>2</v>
      </c>
      <c r="G3" s="5">
        <v>10</v>
      </c>
    </row>
    <row r="4" spans="1:7" x14ac:dyDescent="0.3">
      <c r="A4" s="3" t="s">
        <v>13</v>
      </c>
      <c r="B4" s="5">
        <v>12</v>
      </c>
      <c r="C4" s="5">
        <v>24</v>
      </c>
      <c r="D4" s="5">
        <v>21</v>
      </c>
      <c r="E4" s="5">
        <v>17</v>
      </c>
      <c r="F4" s="5">
        <v>16</v>
      </c>
      <c r="G4" s="5">
        <v>90</v>
      </c>
    </row>
    <row r="5" spans="1:7" x14ac:dyDescent="0.3">
      <c r="A5" s="3" t="s">
        <v>126</v>
      </c>
      <c r="B5" s="5">
        <v>16</v>
      </c>
      <c r="C5" s="5">
        <v>26</v>
      </c>
      <c r="D5" s="5">
        <v>21</v>
      </c>
      <c r="E5" s="5">
        <v>19</v>
      </c>
      <c r="F5" s="5">
        <v>18</v>
      </c>
      <c r="G5" s="5">
        <v>100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1C753F-98B2-4234-8E7C-B44A069D29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DRIVER_VS_DISTANCE</vt:lpstr>
      <vt:lpstr>DATASET</vt:lpstr>
      <vt:lpstr>city_vs_fare</vt:lpstr>
      <vt:lpstr>driver_vs_rating</vt:lpstr>
      <vt:lpstr>payment_vs_fare</vt:lpstr>
      <vt:lpstr>distance_vs_month</vt:lpstr>
      <vt:lpstr>City_vs_trip_status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vijayan</dc:creator>
  <cp:lastModifiedBy>anjana vijayan</cp:lastModifiedBy>
  <dcterms:created xsi:type="dcterms:W3CDTF">2026-03-23T03:53:04Z</dcterms:created>
  <dcterms:modified xsi:type="dcterms:W3CDTF">2026-03-25T07:28:04Z</dcterms:modified>
</cp:coreProperties>
</file>